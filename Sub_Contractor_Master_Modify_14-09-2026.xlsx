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2E1451-EB96-495A-8703-09AB139B1D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b_Contractor_Master" sheetId="1" r:id="rId1"/>
    <sheet name="Material_Master" sheetId="4" r:id="rId2"/>
  </sheets>
  <definedNames>
    <definedName name="_xlnm._FilterDatabase" localSheetId="0" hidden="1">Sub_Contractor_Master!$A$1:$L$49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6" i="4" l="1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K24" i="1"/>
  <c r="K4" i="1"/>
  <c r="K3" i="1"/>
  <c r="K2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</calcChain>
</file>

<file path=xl/sharedStrings.xml><?xml version="1.0" encoding="utf-8"?>
<sst xmlns="http://schemas.openxmlformats.org/spreadsheetml/2006/main" count="582" uniqueCount="84">
  <si>
    <t>Sl. No.</t>
  </si>
  <si>
    <t>Main Head</t>
  </si>
  <si>
    <t>Sub Head</t>
  </si>
  <si>
    <t>Material Details</t>
  </si>
  <si>
    <t>Unit</t>
  </si>
  <si>
    <t>Status</t>
  </si>
  <si>
    <t>Sub Contractor</t>
  </si>
  <si>
    <t>OHR WORK</t>
  </si>
  <si>
    <t>Job</t>
  </si>
  <si>
    <t>Active</t>
  </si>
  <si>
    <t>Pipe Line CPVC/UPVC</t>
  </si>
  <si>
    <t>Bore Well ODEX</t>
  </si>
  <si>
    <t>Mtr</t>
  </si>
  <si>
    <t>Bore Well DTH</t>
  </si>
  <si>
    <t>Bore Well Direct</t>
  </si>
  <si>
    <t>Bore Well Reverse</t>
  </si>
  <si>
    <t>Bore Well Hand</t>
  </si>
  <si>
    <t>Solar Structure</t>
  </si>
  <si>
    <t>Solar Foundation</t>
  </si>
  <si>
    <t>Solar Installation</t>
  </si>
  <si>
    <t>Building</t>
  </si>
  <si>
    <t>Pump House</t>
  </si>
  <si>
    <t>Guardwall</t>
  </si>
  <si>
    <t>Boundary Wall</t>
  </si>
  <si>
    <t>Road Repair</t>
  </si>
  <si>
    <t>Electric Work</t>
  </si>
  <si>
    <t>Hydram Project</t>
  </si>
  <si>
    <t>Drake Well</t>
  </si>
  <si>
    <t>DI Pipe Line Work</t>
  </si>
  <si>
    <t>700 mm Pipe Laying</t>
  </si>
  <si>
    <t>700 mm Valve Fitting</t>
  </si>
  <si>
    <t>700 mm Valve Chamber</t>
  </si>
  <si>
    <t>600 mm Pipe Laying</t>
  </si>
  <si>
    <t>600 mm Valve Fitting</t>
  </si>
  <si>
    <t>600 mm Valve Chamber</t>
  </si>
  <si>
    <t>350 mm Pipe Laying</t>
  </si>
  <si>
    <t>350 mm Valve Fitting</t>
  </si>
  <si>
    <t>350 mm Valve Chamber</t>
  </si>
  <si>
    <t>315 mm Pipe Laying</t>
  </si>
  <si>
    <t>315 mm Valve Fitting</t>
  </si>
  <si>
    <t>315 mm Valve Chamber</t>
  </si>
  <si>
    <t>200 mm Pipe Laying</t>
  </si>
  <si>
    <t>200 mm Valve Fitting</t>
  </si>
  <si>
    <t>200 mm Valve Chamber</t>
  </si>
  <si>
    <t>250 mm Pipe Laying</t>
  </si>
  <si>
    <t>250 mm Valve Fitting</t>
  </si>
  <si>
    <t>250 mm Valve Chamber</t>
  </si>
  <si>
    <t>HDPE Pipe Line Work</t>
  </si>
  <si>
    <t>Plumber</t>
  </si>
  <si>
    <t>Bore Well</t>
  </si>
  <si>
    <t>Solar Work</t>
  </si>
  <si>
    <t>Construction Work</t>
  </si>
  <si>
    <t>House Wireing</t>
  </si>
  <si>
    <t>Motor Repairng</t>
  </si>
  <si>
    <t>AC Repairng</t>
  </si>
  <si>
    <t>Water Project Work</t>
  </si>
  <si>
    <t>Earthing &amp; Light Arrester Installation</t>
  </si>
  <si>
    <t>OHR</t>
  </si>
  <si>
    <t>H</t>
  </si>
  <si>
    <t>A</t>
  </si>
  <si>
    <t>B</t>
  </si>
  <si>
    <t>C</t>
  </si>
  <si>
    <t>D</t>
  </si>
  <si>
    <t>F</t>
  </si>
  <si>
    <t>G</t>
  </si>
  <si>
    <t>X</t>
  </si>
  <si>
    <t>Y</t>
  </si>
  <si>
    <t>N</t>
  </si>
  <si>
    <t>I</t>
  </si>
  <si>
    <t>J</t>
  </si>
  <si>
    <t>Work_Order</t>
  </si>
  <si>
    <t>Rate</t>
  </si>
  <si>
    <t>Amount</t>
  </si>
  <si>
    <t>Qty</t>
  </si>
  <si>
    <t>Rate Reference</t>
  </si>
  <si>
    <t>PUR01</t>
  </si>
  <si>
    <t>LOCAL</t>
  </si>
  <si>
    <t>BAN01</t>
  </si>
  <si>
    <t>JHR01</t>
  </si>
  <si>
    <t>JHR02</t>
  </si>
  <si>
    <t>BAN02</t>
  </si>
  <si>
    <t>MAD01</t>
  </si>
  <si>
    <t>PUR02</t>
  </si>
  <si>
    <t>Sub_Contractor_Name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</si>
</sst>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4" fillId="2" borderId="0" xfId="0" applyFont="1" applyFill="1"/>
    <xf numFmtId="43" fontId="1" fillId="2" borderId="1" xfId="0" applyNumberFormat="1" applyFont="1" applyFill="1" applyBorder="1" applyAlignment="1">
      <alignment horizontal="center"/>
    </xf>
    <xf numFmtId="43" fontId="0" fillId="0" borderId="0" xfId="0" applyNumberFormat="1"/>
    <xf numFmtId="4" fontId="1" fillId="2" borderId="1" xfId="0" applyNumberFormat="1" applyFont="1" applyFill="1" applyBorder="1" applyAlignment="1">
      <alignment horizontal="center"/>
    </xf>
    <xf numFmtId="4" fontId="0" fillId="0" borderId="0" xfId="0" applyNumberFormat="1"/>
    <xf numFmtId="0" fontId="5" fillId="0" borderId="1" xfId="0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43" fontId="6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/>
    </xf>
    <xf numFmtId="0" fontId="4" fillId="0" borderId="0" xfId="0" applyFont="1"/>
    <xf numFmtId="0" fontId="5" fillId="0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F7" sqref="F7"/>
    </sheetView>
  </sheetViews>
  <sheetFormatPr defaultRowHeight="14.4" x14ac:dyDescent="0.3"/>
  <cols>
    <col min="2" max="2" width="12.6640625" bestFit="1" customWidth="1"/>
    <col min="3" max="3" width="13.33203125" bestFit="1" customWidth="1"/>
    <col min="4" max="4" width="18.6640625" bestFit="1" customWidth="1"/>
    <col min="5" max="5" width="30.88671875" bestFit="1" customWidth="1"/>
    <col min="6" max="6" width="30.88671875" customWidth="1"/>
    <col min="7" max="7" width="5" bestFit="1" customWidth="1"/>
    <col min="8" max="8" width="5" customWidth="1"/>
    <col min="9" max="9" width="11.44140625" style="10" bestFit="1" customWidth="1"/>
    <col min="10" max="10" width="13.77734375" bestFit="1" customWidth="1"/>
    <col min="11" max="11" width="12.5546875" style="8" bestFit="1" customWidth="1"/>
  </cols>
  <sheetData>
    <row r="1" spans="1:12" ht="15.6" x14ac:dyDescent="0.3">
      <c r="A1" s="1" t="s">
        <v>0</v>
      </c>
      <c r="B1" s="1" t="s">
        <v>70</v>
      </c>
      <c r="C1" s="1" t="s">
        <v>1</v>
      </c>
      <c r="D1" s="1" t="s">
        <v>2</v>
      </c>
      <c r="E1" s="2" t="s">
        <v>3</v>
      </c>
      <c r="F1" s="5" t="s">
        <v>83</v>
      </c>
      <c r="G1" s="1" t="s">
        <v>4</v>
      </c>
      <c r="H1" s="1" t="s">
        <v>73</v>
      </c>
      <c r="I1" s="9" t="s">
        <v>71</v>
      </c>
      <c r="J1" s="6" t="s">
        <v>74</v>
      </c>
      <c r="K1" s="7" t="s">
        <v>72</v>
      </c>
      <c r="L1" s="1" t="s">
        <v>5</v>
      </c>
    </row>
    <row r="2" spans="1:12" s="14" customFormat="1" ht="15.6" x14ac:dyDescent="0.3">
      <c r="A2" s="11">
        <v>1</v>
      </c>
      <c r="B2" s="11" t="s">
        <v>75</v>
      </c>
      <c r="C2" s="11" t="s">
        <v>6</v>
      </c>
      <c r="D2" s="11" t="s">
        <v>7</v>
      </c>
      <c r="E2" s="3" t="s">
        <v>57</v>
      </c>
      <c r="F2" s="3" t="s">
        <v>59</v>
      </c>
      <c r="G2" s="11" t="s">
        <v>8</v>
      </c>
      <c r="H2" s="11">
        <v>1</v>
      </c>
      <c r="I2" s="12">
        <v>1800000</v>
      </c>
      <c r="J2" s="11" t="s">
        <v>76</v>
      </c>
      <c r="K2" s="20">
        <f t="shared" ref="K2:K4" si="0">H2*I2</f>
        <v>1800000</v>
      </c>
      <c r="L2" s="11" t="s">
        <v>9</v>
      </c>
    </row>
    <row r="3" spans="1:12" s="14" customFormat="1" ht="15.6" x14ac:dyDescent="0.3">
      <c r="A3" s="11">
        <v>2</v>
      </c>
      <c r="B3" s="11" t="s">
        <v>75</v>
      </c>
      <c r="C3" s="11" t="s">
        <v>6</v>
      </c>
      <c r="D3" s="11" t="s">
        <v>7</v>
      </c>
      <c r="E3" s="3" t="s">
        <v>57</v>
      </c>
      <c r="F3" s="3" t="s">
        <v>60</v>
      </c>
      <c r="G3" s="11" t="s">
        <v>8</v>
      </c>
      <c r="H3" s="11">
        <v>2</v>
      </c>
      <c r="I3" s="12">
        <v>1800000</v>
      </c>
      <c r="J3" s="11" t="s">
        <v>76</v>
      </c>
      <c r="K3" s="20">
        <f t="shared" si="0"/>
        <v>3600000</v>
      </c>
      <c r="L3" s="11" t="s">
        <v>9</v>
      </c>
    </row>
    <row r="4" spans="1:12" s="14" customFormat="1" ht="15.6" x14ac:dyDescent="0.3">
      <c r="A4" s="11">
        <v>3</v>
      </c>
      <c r="B4" s="11" t="s">
        <v>75</v>
      </c>
      <c r="C4" s="11" t="s">
        <v>6</v>
      </c>
      <c r="D4" s="11" t="s">
        <v>7</v>
      </c>
      <c r="E4" s="3" t="s">
        <v>57</v>
      </c>
      <c r="F4" s="3" t="s">
        <v>59</v>
      </c>
      <c r="G4" s="11" t="s">
        <v>8</v>
      </c>
      <c r="H4" s="11">
        <v>1</v>
      </c>
      <c r="I4" s="12">
        <v>1800000</v>
      </c>
      <c r="J4" s="11" t="s">
        <v>76</v>
      </c>
      <c r="K4" s="20">
        <f t="shared" si="0"/>
        <v>1800000</v>
      </c>
      <c r="L4" s="11" t="s">
        <v>9</v>
      </c>
    </row>
    <row r="5" spans="1:12" s="14" customFormat="1" ht="15.6" x14ac:dyDescent="0.3">
      <c r="A5" s="11">
        <v>4</v>
      </c>
      <c r="B5" s="11" t="s">
        <v>75</v>
      </c>
      <c r="C5" s="11" t="s">
        <v>6</v>
      </c>
      <c r="D5" s="11" t="s">
        <v>28</v>
      </c>
      <c r="E5" s="3" t="s">
        <v>29</v>
      </c>
      <c r="F5" s="3" t="s">
        <v>61</v>
      </c>
      <c r="G5" s="11" t="s">
        <v>12</v>
      </c>
      <c r="H5" s="11">
        <v>400</v>
      </c>
      <c r="I5" s="12">
        <v>100</v>
      </c>
      <c r="J5" s="11" t="s">
        <v>76</v>
      </c>
      <c r="K5" s="20">
        <f>H5*I5</f>
        <v>40000</v>
      </c>
      <c r="L5" s="11" t="s">
        <v>9</v>
      </c>
    </row>
    <row r="6" spans="1:12" s="14" customFormat="1" ht="15.6" x14ac:dyDescent="0.3">
      <c r="A6" s="11">
        <v>5</v>
      </c>
      <c r="B6" s="11" t="s">
        <v>75</v>
      </c>
      <c r="C6" s="11" t="s">
        <v>6</v>
      </c>
      <c r="D6" s="11" t="s">
        <v>28</v>
      </c>
      <c r="E6" s="3" t="s">
        <v>29</v>
      </c>
      <c r="F6" s="3" t="s">
        <v>62</v>
      </c>
      <c r="G6" s="11" t="s">
        <v>12</v>
      </c>
      <c r="H6" s="11">
        <v>300</v>
      </c>
      <c r="I6" s="12">
        <v>100</v>
      </c>
      <c r="J6" s="11" t="s">
        <v>76</v>
      </c>
      <c r="K6" s="20">
        <f>H6*I6</f>
        <v>30000</v>
      </c>
      <c r="L6" s="11" t="s">
        <v>9</v>
      </c>
    </row>
    <row r="7" spans="1:12" s="14" customFormat="1" ht="15.6" x14ac:dyDescent="0.3">
      <c r="A7" s="11">
        <v>6</v>
      </c>
      <c r="B7" s="11" t="s">
        <v>75</v>
      </c>
      <c r="C7" s="11" t="s">
        <v>6</v>
      </c>
      <c r="D7" s="11" t="s">
        <v>28</v>
      </c>
      <c r="E7" s="3" t="s">
        <v>29</v>
      </c>
      <c r="F7" s="3" t="s">
        <v>60</v>
      </c>
      <c r="G7" s="11" t="s">
        <v>12</v>
      </c>
      <c r="H7" s="11">
        <v>300</v>
      </c>
      <c r="I7" s="12">
        <v>100</v>
      </c>
      <c r="J7" s="11" t="s">
        <v>76</v>
      </c>
      <c r="K7" s="20">
        <f>H7*I7</f>
        <v>30000</v>
      </c>
      <c r="L7" s="11" t="s">
        <v>9</v>
      </c>
    </row>
    <row r="8" spans="1:12" s="14" customFormat="1" ht="15.6" x14ac:dyDescent="0.3">
      <c r="A8" s="11">
        <v>7</v>
      </c>
      <c r="B8" s="11" t="s">
        <v>75</v>
      </c>
      <c r="C8" s="11" t="s">
        <v>6</v>
      </c>
      <c r="D8" s="11" t="s">
        <v>28</v>
      </c>
      <c r="E8" s="3" t="s">
        <v>30</v>
      </c>
      <c r="F8" s="3" t="s">
        <v>61</v>
      </c>
      <c r="G8" s="11" t="s">
        <v>8</v>
      </c>
      <c r="H8" s="11">
        <v>5</v>
      </c>
      <c r="I8" s="12">
        <v>1500</v>
      </c>
      <c r="J8" s="11" t="s">
        <v>76</v>
      </c>
      <c r="K8" s="20">
        <f t="shared" ref="K8:K49" si="1">H8*I8</f>
        <v>7500</v>
      </c>
      <c r="L8" s="11" t="s">
        <v>9</v>
      </c>
    </row>
    <row r="9" spans="1:12" s="14" customFormat="1" ht="15.6" x14ac:dyDescent="0.3">
      <c r="A9" s="11">
        <v>8</v>
      </c>
      <c r="B9" s="11" t="s">
        <v>75</v>
      </c>
      <c r="C9" s="11" t="s">
        <v>6</v>
      </c>
      <c r="D9" s="11" t="s">
        <v>28</v>
      </c>
      <c r="E9" s="3" t="s">
        <v>30</v>
      </c>
      <c r="F9" s="3" t="s">
        <v>68</v>
      </c>
      <c r="G9" s="11" t="s">
        <v>8</v>
      </c>
      <c r="H9" s="11">
        <v>2</v>
      </c>
      <c r="I9" s="12">
        <v>1500</v>
      </c>
      <c r="J9" s="11" t="s">
        <v>76</v>
      </c>
      <c r="K9" s="20">
        <f t="shared" si="1"/>
        <v>3000</v>
      </c>
      <c r="L9" s="11" t="s">
        <v>9</v>
      </c>
    </row>
    <row r="10" spans="1:12" s="14" customFormat="1" ht="15.6" x14ac:dyDescent="0.3">
      <c r="A10" s="11">
        <v>9</v>
      </c>
      <c r="B10" s="11" t="s">
        <v>75</v>
      </c>
      <c r="C10" s="11" t="s">
        <v>6</v>
      </c>
      <c r="D10" s="11" t="s">
        <v>28</v>
      </c>
      <c r="E10" s="3" t="s">
        <v>31</v>
      </c>
      <c r="F10" s="3" t="s">
        <v>62</v>
      </c>
      <c r="G10" s="11" t="s">
        <v>8</v>
      </c>
      <c r="H10" s="11">
        <v>4</v>
      </c>
      <c r="I10" s="12">
        <v>2000</v>
      </c>
      <c r="J10" s="11" t="s">
        <v>76</v>
      </c>
      <c r="K10" s="20">
        <f t="shared" si="1"/>
        <v>8000</v>
      </c>
      <c r="L10" s="11" t="s">
        <v>9</v>
      </c>
    </row>
    <row r="11" spans="1:12" s="14" customFormat="1" ht="15.6" x14ac:dyDescent="0.3">
      <c r="A11" s="11">
        <v>10</v>
      </c>
      <c r="B11" s="11" t="s">
        <v>75</v>
      </c>
      <c r="C11" s="11" t="s">
        <v>6</v>
      </c>
      <c r="D11" s="11" t="s">
        <v>28</v>
      </c>
      <c r="E11" s="3" t="s">
        <v>31</v>
      </c>
      <c r="F11" s="3" t="s">
        <v>69</v>
      </c>
      <c r="G11" s="11" t="s">
        <v>8</v>
      </c>
      <c r="H11" s="11">
        <v>3</v>
      </c>
      <c r="I11" s="12">
        <v>2000</v>
      </c>
      <c r="J11" s="11" t="s">
        <v>76</v>
      </c>
      <c r="K11" s="20">
        <f t="shared" si="1"/>
        <v>6000</v>
      </c>
      <c r="L11" s="11" t="s">
        <v>9</v>
      </c>
    </row>
    <row r="12" spans="1:12" s="14" customFormat="1" ht="15.6" x14ac:dyDescent="0.3">
      <c r="A12" s="11">
        <v>11</v>
      </c>
      <c r="B12" s="11" t="s">
        <v>75</v>
      </c>
      <c r="C12" s="11" t="s">
        <v>6</v>
      </c>
      <c r="D12" s="11" t="s">
        <v>28</v>
      </c>
      <c r="E12" s="3" t="s">
        <v>32</v>
      </c>
      <c r="F12" s="3" t="s">
        <v>61</v>
      </c>
      <c r="G12" s="11" t="s">
        <v>12</v>
      </c>
      <c r="H12" s="11">
        <v>1500</v>
      </c>
      <c r="I12" s="12">
        <v>100</v>
      </c>
      <c r="J12" s="11" t="s">
        <v>76</v>
      </c>
      <c r="K12" s="20">
        <f t="shared" si="1"/>
        <v>150000</v>
      </c>
      <c r="L12" s="11" t="s">
        <v>9</v>
      </c>
    </row>
    <row r="13" spans="1:12" s="14" customFormat="1" ht="15.6" x14ac:dyDescent="0.3">
      <c r="A13" s="11">
        <v>12</v>
      </c>
      <c r="B13" s="11" t="s">
        <v>75</v>
      </c>
      <c r="C13" s="11" t="s">
        <v>6</v>
      </c>
      <c r="D13" s="11" t="s">
        <v>28</v>
      </c>
      <c r="E13" s="3" t="s">
        <v>33</v>
      </c>
      <c r="F13" s="3" t="s">
        <v>62</v>
      </c>
      <c r="G13" s="11" t="s">
        <v>8</v>
      </c>
      <c r="H13" s="11">
        <v>3</v>
      </c>
      <c r="I13" s="12">
        <v>1500</v>
      </c>
      <c r="J13" s="11" t="s">
        <v>76</v>
      </c>
      <c r="K13" s="20">
        <f t="shared" si="1"/>
        <v>4500</v>
      </c>
      <c r="L13" s="11" t="s">
        <v>9</v>
      </c>
    </row>
    <row r="14" spans="1:12" s="14" customFormat="1" ht="15.6" x14ac:dyDescent="0.3">
      <c r="A14" s="11">
        <v>13</v>
      </c>
      <c r="B14" s="11" t="s">
        <v>75</v>
      </c>
      <c r="C14" s="11" t="s">
        <v>6</v>
      </c>
      <c r="D14" s="11" t="s">
        <v>28</v>
      </c>
      <c r="E14" s="3" t="s">
        <v>34</v>
      </c>
      <c r="F14" s="3" t="s">
        <v>62</v>
      </c>
      <c r="G14" s="11" t="s">
        <v>8</v>
      </c>
      <c r="H14" s="11">
        <v>3</v>
      </c>
      <c r="I14" s="12">
        <v>2000</v>
      </c>
      <c r="J14" s="11" t="s">
        <v>76</v>
      </c>
      <c r="K14" s="20">
        <f t="shared" si="1"/>
        <v>6000</v>
      </c>
      <c r="L14" s="11" t="s">
        <v>9</v>
      </c>
    </row>
    <row r="15" spans="1:12" s="14" customFormat="1" ht="15.6" x14ac:dyDescent="0.3">
      <c r="A15" s="11">
        <v>14</v>
      </c>
      <c r="B15" s="11" t="s">
        <v>75</v>
      </c>
      <c r="C15" s="11" t="s">
        <v>6</v>
      </c>
      <c r="D15" s="11" t="s">
        <v>28</v>
      </c>
      <c r="E15" s="3" t="s">
        <v>35</v>
      </c>
      <c r="F15" s="3" t="s">
        <v>62</v>
      </c>
      <c r="G15" s="11" t="s">
        <v>12</v>
      </c>
      <c r="H15" s="11">
        <v>2000</v>
      </c>
      <c r="I15" s="12">
        <v>80</v>
      </c>
      <c r="J15" s="11" t="s">
        <v>76</v>
      </c>
      <c r="K15" s="20">
        <f t="shared" si="1"/>
        <v>160000</v>
      </c>
      <c r="L15" s="11" t="s">
        <v>9</v>
      </c>
    </row>
    <row r="16" spans="1:12" s="14" customFormat="1" ht="15.6" x14ac:dyDescent="0.3">
      <c r="A16" s="11">
        <v>15</v>
      </c>
      <c r="B16" s="11" t="s">
        <v>75</v>
      </c>
      <c r="C16" s="11" t="s">
        <v>6</v>
      </c>
      <c r="D16" s="11" t="s">
        <v>28</v>
      </c>
      <c r="E16" s="3" t="s">
        <v>36</v>
      </c>
      <c r="F16" s="3" t="s">
        <v>61</v>
      </c>
      <c r="G16" s="11" t="s">
        <v>8</v>
      </c>
      <c r="H16" s="11">
        <v>5</v>
      </c>
      <c r="I16" s="12">
        <v>1000</v>
      </c>
      <c r="J16" s="11" t="s">
        <v>76</v>
      </c>
      <c r="K16" s="20">
        <f t="shared" si="1"/>
        <v>5000</v>
      </c>
      <c r="L16" s="11" t="s">
        <v>9</v>
      </c>
    </row>
    <row r="17" spans="1:12" s="14" customFormat="1" ht="15.6" x14ac:dyDescent="0.3">
      <c r="A17" s="11">
        <v>16</v>
      </c>
      <c r="B17" s="11" t="s">
        <v>75</v>
      </c>
      <c r="C17" s="11" t="s">
        <v>6</v>
      </c>
      <c r="D17" s="11" t="s">
        <v>28</v>
      </c>
      <c r="E17" s="3" t="s">
        <v>37</v>
      </c>
      <c r="F17" s="3" t="s">
        <v>61</v>
      </c>
      <c r="G17" s="11" t="s">
        <v>8</v>
      </c>
      <c r="H17" s="11">
        <v>5</v>
      </c>
      <c r="I17" s="12">
        <v>1500</v>
      </c>
      <c r="J17" s="11" t="s">
        <v>76</v>
      </c>
      <c r="K17" s="20">
        <f t="shared" si="1"/>
        <v>7500</v>
      </c>
      <c r="L17" s="11" t="s">
        <v>9</v>
      </c>
    </row>
    <row r="18" spans="1:12" s="14" customFormat="1" ht="15.6" x14ac:dyDescent="0.3">
      <c r="A18" s="11">
        <v>17</v>
      </c>
      <c r="B18" s="11" t="s">
        <v>77</v>
      </c>
      <c r="C18" s="11" t="s">
        <v>6</v>
      </c>
      <c r="D18" s="11" t="s">
        <v>47</v>
      </c>
      <c r="E18" s="3" t="s">
        <v>38</v>
      </c>
      <c r="F18" s="3" t="s">
        <v>63</v>
      </c>
      <c r="G18" s="11" t="s">
        <v>12</v>
      </c>
      <c r="H18" s="11">
        <v>1000</v>
      </c>
      <c r="I18" s="12">
        <v>80</v>
      </c>
      <c r="J18" s="11" t="s">
        <v>76</v>
      </c>
      <c r="K18" s="20">
        <f t="shared" si="1"/>
        <v>80000</v>
      </c>
      <c r="L18" s="11" t="s">
        <v>9</v>
      </c>
    </row>
    <row r="19" spans="1:12" s="14" customFormat="1" ht="15.6" x14ac:dyDescent="0.3">
      <c r="A19" s="11">
        <v>18</v>
      </c>
      <c r="B19" s="11" t="s">
        <v>77</v>
      </c>
      <c r="C19" s="11" t="s">
        <v>6</v>
      </c>
      <c r="D19" s="11" t="s">
        <v>47</v>
      </c>
      <c r="E19" s="3" t="s">
        <v>39</v>
      </c>
      <c r="F19" s="3" t="s">
        <v>63</v>
      </c>
      <c r="G19" s="11" t="s">
        <v>8</v>
      </c>
      <c r="H19" s="11">
        <v>5</v>
      </c>
      <c r="I19" s="12">
        <v>1000</v>
      </c>
      <c r="J19" s="11" t="s">
        <v>76</v>
      </c>
      <c r="K19" s="20">
        <f t="shared" si="1"/>
        <v>5000</v>
      </c>
      <c r="L19" s="11" t="s">
        <v>9</v>
      </c>
    </row>
    <row r="20" spans="1:12" s="14" customFormat="1" ht="15.6" x14ac:dyDescent="0.3">
      <c r="A20" s="11">
        <v>19</v>
      </c>
      <c r="B20" s="11" t="s">
        <v>77</v>
      </c>
      <c r="C20" s="11" t="s">
        <v>6</v>
      </c>
      <c r="D20" s="11" t="s">
        <v>47</v>
      </c>
      <c r="E20" s="3" t="s">
        <v>40</v>
      </c>
      <c r="F20" s="3" t="s">
        <v>63</v>
      </c>
      <c r="G20" s="11" t="s">
        <v>8</v>
      </c>
      <c r="H20" s="11">
        <v>5</v>
      </c>
      <c r="I20" s="12">
        <v>1500</v>
      </c>
      <c r="J20" s="11" t="s">
        <v>76</v>
      </c>
      <c r="K20" s="20">
        <f t="shared" si="1"/>
        <v>7500</v>
      </c>
      <c r="L20" s="11" t="s">
        <v>9</v>
      </c>
    </row>
    <row r="21" spans="1:12" s="14" customFormat="1" ht="15.6" x14ac:dyDescent="0.3">
      <c r="A21" s="11">
        <v>20</v>
      </c>
      <c r="B21" s="11" t="s">
        <v>77</v>
      </c>
      <c r="C21" s="11" t="s">
        <v>6</v>
      </c>
      <c r="D21" s="11" t="s">
        <v>47</v>
      </c>
      <c r="E21" s="3" t="s">
        <v>44</v>
      </c>
      <c r="F21" s="3" t="s">
        <v>64</v>
      </c>
      <c r="G21" s="11" t="s">
        <v>12</v>
      </c>
      <c r="H21" s="11">
        <v>500</v>
      </c>
      <c r="I21" s="12">
        <v>70</v>
      </c>
      <c r="J21" s="11" t="s">
        <v>76</v>
      </c>
      <c r="K21" s="20">
        <f t="shared" si="1"/>
        <v>35000</v>
      </c>
      <c r="L21" s="11" t="s">
        <v>9</v>
      </c>
    </row>
    <row r="22" spans="1:12" s="14" customFormat="1" ht="15.6" x14ac:dyDescent="0.3">
      <c r="A22" s="11">
        <v>21</v>
      </c>
      <c r="B22" s="11" t="s">
        <v>77</v>
      </c>
      <c r="C22" s="11" t="s">
        <v>6</v>
      </c>
      <c r="D22" s="11" t="s">
        <v>47</v>
      </c>
      <c r="E22" s="3" t="s">
        <v>45</v>
      </c>
      <c r="F22" s="3" t="s">
        <v>64</v>
      </c>
      <c r="G22" s="11" t="s">
        <v>8</v>
      </c>
      <c r="H22" s="11">
        <v>3</v>
      </c>
      <c r="I22" s="12">
        <v>1000</v>
      </c>
      <c r="J22" s="11" t="s">
        <v>76</v>
      </c>
      <c r="K22" s="20">
        <f t="shared" si="1"/>
        <v>3000</v>
      </c>
      <c r="L22" s="11" t="s">
        <v>9</v>
      </c>
    </row>
    <row r="23" spans="1:12" s="14" customFormat="1" ht="15.6" x14ac:dyDescent="0.3">
      <c r="A23" s="11">
        <v>22</v>
      </c>
      <c r="B23" s="11" t="s">
        <v>77</v>
      </c>
      <c r="C23" s="11" t="s">
        <v>6</v>
      </c>
      <c r="D23" s="11" t="s">
        <v>47</v>
      </c>
      <c r="E23" s="3" t="s">
        <v>46</v>
      </c>
      <c r="F23" s="3" t="s">
        <v>63</v>
      </c>
      <c r="G23" s="11" t="s">
        <v>8</v>
      </c>
      <c r="H23" s="11">
        <v>3</v>
      </c>
      <c r="I23" s="12">
        <v>1500</v>
      </c>
      <c r="J23" s="11" t="s">
        <v>76</v>
      </c>
      <c r="K23" s="20">
        <f t="shared" si="1"/>
        <v>4500</v>
      </c>
      <c r="L23" s="11" t="s">
        <v>9</v>
      </c>
    </row>
    <row r="24" spans="1:12" s="14" customFormat="1" ht="15.6" x14ac:dyDescent="0.3">
      <c r="A24" s="11">
        <v>23</v>
      </c>
      <c r="B24" s="11" t="s">
        <v>77</v>
      </c>
      <c r="C24" s="11" t="s">
        <v>6</v>
      </c>
      <c r="D24" s="11" t="s">
        <v>47</v>
      </c>
      <c r="E24" s="3" t="s">
        <v>44</v>
      </c>
      <c r="F24" s="3" t="s">
        <v>63</v>
      </c>
      <c r="G24" s="11" t="s">
        <v>12</v>
      </c>
      <c r="H24" s="11">
        <v>500</v>
      </c>
      <c r="I24" s="12">
        <v>70</v>
      </c>
      <c r="J24" s="11" t="s">
        <v>76</v>
      </c>
      <c r="K24" s="20">
        <f t="shared" si="1"/>
        <v>35000</v>
      </c>
      <c r="L24" s="11" t="s">
        <v>9</v>
      </c>
    </row>
    <row r="25" spans="1:12" s="14" customFormat="1" ht="15.6" x14ac:dyDescent="0.3">
      <c r="A25" s="11">
        <v>24</v>
      </c>
      <c r="B25" s="11" t="s">
        <v>77</v>
      </c>
      <c r="C25" s="11" t="s">
        <v>6</v>
      </c>
      <c r="D25" s="11" t="s">
        <v>47</v>
      </c>
      <c r="E25" s="3" t="s">
        <v>41</v>
      </c>
      <c r="F25" s="3" t="s">
        <v>64</v>
      </c>
      <c r="G25" s="11" t="s">
        <v>12</v>
      </c>
      <c r="H25" s="11">
        <v>1000</v>
      </c>
      <c r="I25" s="12">
        <v>60</v>
      </c>
      <c r="J25" s="11" t="s">
        <v>76</v>
      </c>
      <c r="K25" s="20">
        <f t="shared" si="1"/>
        <v>60000</v>
      </c>
      <c r="L25" s="11" t="s">
        <v>9</v>
      </c>
    </row>
    <row r="26" spans="1:12" s="14" customFormat="1" ht="15.6" x14ac:dyDescent="0.3">
      <c r="A26" s="11">
        <v>25</v>
      </c>
      <c r="B26" s="11" t="s">
        <v>77</v>
      </c>
      <c r="C26" s="11" t="s">
        <v>6</v>
      </c>
      <c r="D26" s="11" t="s">
        <v>47</v>
      </c>
      <c r="E26" s="3" t="s">
        <v>42</v>
      </c>
      <c r="F26" s="3" t="s">
        <v>64</v>
      </c>
      <c r="G26" s="11" t="s">
        <v>8</v>
      </c>
      <c r="H26" s="11">
        <v>5</v>
      </c>
      <c r="I26" s="12">
        <v>800</v>
      </c>
      <c r="J26" s="11" t="s">
        <v>76</v>
      </c>
      <c r="K26" s="20">
        <f t="shared" si="1"/>
        <v>4000</v>
      </c>
      <c r="L26" s="11" t="s">
        <v>9</v>
      </c>
    </row>
    <row r="27" spans="1:12" s="14" customFormat="1" ht="15.6" x14ac:dyDescent="0.3">
      <c r="A27" s="11">
        <v>26</v>
      </c>
      <c r="B27" s="11" t="s">
        <v>77</v>
      </c>
      <c r="C27" s="11" t="s">
        <v>6</v>
      </c>
      <c r="D27" s="11" t="s">
        <v>47</v>
      </c>
      <c r="E27" s="3" t="s">
        <v>43</v>
      </c>
      <c r="F27" s="3" t="s">
        <v>58</v>
      </c>
      <c r="G27" s="11" t="s">
        <v>8</v>
      </c>
      <c r="H27" s="11">
        <v>5</v>
      </c>
      <c r="I27" s="12">
        <v>1000</v>
      </c>
      <c r="J27" s="11" t="s">
        <v>76</v>
      </c>
      <c r="K27" s="20">
        <f t="shared" si="1"/>
        <v>5000</v>
      </c>
      <c r="L27" s="11" t="s">
        <v>9</v>
      </c>
    </row>
    <row r="28" spans="1:12" s="14" customFormat="1" x14ac:dyDescent="0.3">
      <c r="A28" s="11">
        <v>27</v>
      </c>
      <c r="B28" s="11" t="s">
        <v>77</v>
      </c>
      <c r="C28" s="11" t="s">
        <v>6</v>
      </c>
      <c r="D28" s="18" t="s">
        <v>48</v>
      </c>
      <c r="E28" s="11" t="s">
        <v>10</v>
      </c>
      <c r="F28" s="11" t="s">
        <v>58</v>
      </c>
      <c r="G28" s="11" t="s">
        <v>8</v>
      </c>
      <c r="H28" s="11">
        <v>1</v>
      </c>
      <c r="I28" s="12">
        <v>3000</v>
      </c>
      <c r="J28" s="11" t="s">
        <v>76</v>
      </c>
      <c r="K28" s="20">
        <f t="shared" si="1"/>
        <v>3000</v>
      </c>
      <c r="L28" s="11" t="s">
        <v>9</v>
      </c>
    </row>
    <row r="29" spans="1:12" s="14" customFormat="1" x14ac:dyDescent="0.3">
      <c r="A29" s="11">
        <v>28</v>
      </c>
      <c r="B29" s="11" t="s">
        <v>78</v>
      </c>
      <c r="C29" s="11" t="s">
        <v>6</v>
      </c>
      <c r="D29" s="18" t="s">
        <v>49</v>
      </c>
      <c r="E29" s="11" t="s">
        <v>11</v>
      </c>
      <c r="F29" s="11" t="s">
        <v>66</v>
      </c>
      <c r="G29" s="11" t="s">
        <v>12</v>
      </c>
      <c r="H29" s="11">
        <v>120</v>
      </c>
      <c r="I29" s="12">
        <v>2000</v>
      </c>
      <c r="J29" s="11" t="s">
        <v>76</v>
      </c>
      <c r="K29" s="20">
        <f t="shared" si="1"/>
        <v>240000</v>
      </c>
      <c r="L29" s="11" t="s">
        <v>9</v>
      </c>
    </row>
    <row r="30" spans="1:12" s="14" customFormat="1" x14ac:dyDescent="0.3">
      <c r="A30" s="11">
        <v>29</v>
      </c>
      <c r="B30" s="11" t="s">
        <v>78</v>
      </c>
      <c r="C30" s="11" t="s">
        <v>6</v>
      </c>
      <c r="D30" s="18" t="s">
        <v>49</v>
      </c>
      <c r="E30" s="11" t="s">
        <v>11</v>
      </c>
      <c r="F30" s="11" t="s">
        <v>65</v>
      </c>
      <c r="G30" s="11" t="s">
        <v>12</v>
      </c>
      <c r="H30" s="11">
        <v>120</v>
      </c>
      <c r="I30" s="12">
        <v>2000</v>
      </c>
      <c r="J30" s="11" t="s">
        <v>76</v>
      </c>
      <c r="K30" s="20">
        <f t="shared" si="1"/>
        <v>240000</v>
      </c>
      <c r="L30" s="11" t="s">
        <v>9</v>
      </c>
    </row>
    <row r="31" spans="1:12" s="14" customFormat="1" x14ac:dyDescent="0.3">
      <c r="A31" s="11">
        <v>30</v>
      </c>
      <c r="B31" s="11" t="s">
        <v>79</v>
      </c>
      <c r="C31" s="11" t="s">
        <v>6</v>
      </c>
      <c r="D31" s="18" t="s">
        <v>49</v>
      </c>
      <c r="E31" s="11" t="s">
        <v>13</v>
      </c>
      <c r="F31" s="11" t="s">
        <v>66</v>
      </c>
      <c r="G31" s="11" t="s">
        <v>12</v>
      </c>
      <c r="H31" s="11">
        <v>150</v>
      </c>
      <c r="I31" s="12">
        <v>1500</v>
      </c>
      <c r="J31" s="11" t="s">
        <v>76</v>
      </c>
      <c r="K31" s="20">
        <f t="shared" si="1"/>
        <v>225000</v>
      </c>
      <c r="L31" s="11" t="s">
        <v>9</v>
      </c>
    </row>
    <row r="32" spans="1:12" s="14" customFormat="1" x14ac:dyDescent="0.3">
      <c r="A32" s="11">
        <v>31</v>
      </c>
      <c r="B32" s="11" t="s">
        <v>79</v>
      </c>
      <c r="C32" s="11" t="s">
        <v>6</v>
      </c>
      <c r="D32" s="18" t="s">
        <v>49</v>
      </c>
      <c r="E32" s="11" t="s">
        <v>13</v>
      </c>
      <c r="F32" s="11" t="s">
        <v>65</v>
      </c>
      <c r="G32" s="11" t="s">
        <v>12</v>
      </c>
      <c r="H32" s="11">
        <v>150</v>
      </c>
      <c r="I32" s="12">
        <v>1500</v>
      </c>
      <c r="J32" s="11" t="s">
        <v>76</v>
      </c>
      <c r="K32" s="20">
        <f t="shared" si="1"/>
        <v>225000</v>
      </c>
      <c r="L32" s="11" t="s">
        <v>9</v>
      </c>
    </row>
    <row r="33" spans="1:12" s="14" customFormat="1" x14ac:dyDescent="0.3">
      <c r="A33" s="11">
        <v>32</v>
      </c>
      <c r="B33" s="11" t="s">
        <v>80</v>
      </c>
      <c r="C33" s="11" t="s">
        <v>6</v>
      </c>
      <c r="D33" s="18" t="s">
        <v>49</v>
      </c>
      <c r="E33" s="11" t="s">
        <v>14</v>
      </c>
      <c r="F33" s="11" t="s">
        <v>66</v>
      </c>
      <c r="G33" s="11" t="s">
        <v>12</v>
      </c>
      <c r="H33" s="11">
        <v>150</v>
      </c>
      <c r="I33" s="12">
        <v>1600</v>
      </c>
      <c r="J33" s="11" t="s">
        <v>76</v>
      </c>
      <c r="K33" s="20">
        <f t="shared" si="1"/>
        <v>240000</v>
      </c>
      <c r="L33" s="11" t="s">
        <v>9</v>
      </c>
    </row>
    <row r="34" spans="1:12" s="14" customFormat="1" x14ac:dyDescent="0.3">
      <c r="A34" s="11">
        <v>33</v>
      </c>
      <c r="B34" s="11" t="s">
        <v>80</v>
      </c>
      <c r="C34" s="11" t="s">
        <v>6</v>
      </c>
      <c r="D34" s="18" t="s">
        <v>49</v>
      </c>
      <c r="E34" s="11" t="s">
        <v>15</v>
      </c>
      <c r="F34" s="11" t="s">
        <v>65</v>
      </c>
      <c r="G34" s="11" t="s">
        <v>12</v>
      </c>
      <c r="H34" s="11">
        <v>120</v>
      </c>
      <c r="I34" s="12">
        <v>1800</v>
      </c>
      <c r="J34" s="11" t="s">
        <v>76</v>
      </c>
      <c r="K34" s="20">
        <f t="shared" si="1"/>
        <v>216000</v>
      </c>
      <c r="L34" s="11" t="s">
        <v>9</v>
      </c>
    </row>
    <row r="35" spans="1:12" s="14" customFormat="1" x14ac:dyDescent="0.3">
      <c r="A35" s="11">
        <v>34</v>
      </c>
      <c r="B35" s="11" t="s">
        <v>81</v>
      </c>
      <c r="C35" s="11" t="s">
        <v>6</v>
      </c>
      <c r="D35" s="18" t="s">
        <v>49</v>
      </c>
      <c r="E35" s="11" t="s">
        <v>16</v>
      </c>
      <c r="F35" s="11" t="s">
        <v>66</v>
      </c>
      <c r="G35" s="11" t="s">
        <v>12</v>
      </c>
      <c r="H35" s="11">
        <v>100</v>
      </c>
      <c r="I35" s="12">
        <v>700</v>
      </c>
      <c r="J35" s="11" t="s">
        <v>76</v>
      </c>
      <c r="K35" s="20">
        <f t="shared" si="1"/>
        <v>70000</v>
      </c>
      <c r="L35" s="11" t="s">
        <v>9</v>
      </c>
    </row>
    <row r="36" spans="1:12" s="14" customFormat="1" x14ac:dyDescent="0.3">
      <c r="A36" s="11">
        <v>35</v>
      </c>
      <c r="B36" s="11" t="s">
        <v>82</v>
      </c>
      <c r="C36" s="11" t="s">
        <v>6</v>
      </c>
      <c r="D36" s="18" t="s">
        <v>50</v>
      </c>
      <c r="E36" s="11" t="s">
        <v>17</v>
      </c>
      <c r="F36" s="11" t="s">
        <v>65</v>
      </c>
      <c r="G36" s="11" t="s">
        <v>8</v>
      </c>
      <c r="H36" s="11">
        <v>6</v>
      </c>
      <c r="I36" s="12">
        <v>2500</v>
      </c>
      <c r="J36" s="11" t="s">
        <v>76</v>
      </c>
      <c r="K36" s="20">
        <f t="shared" si="1"/>
        <v>15000</v>
      </c>
      <c r="L36" s="11" t="s">
        <v>9</v>
      </c>
    </row>
    <row r="37" spans="1:12" s="14" customFormat="1" x14ac:dyDescent="0.3">
      <c r="A37" s="11">
        <v>36</v>
      </c>
      <c r="B37" s="11" t="s">
        <v>82</v>
      </c>
      <c r="C37" s="11" t="s">
        <v>6</v>
      </c>
      <c r="D37" s="18" t="s">
        <v>50</v>
      </c>
      <c r="E37" s="11" t="s">
        <v>18</v>
      </c>
      <c r="F37" s="11" t="s">
        <v>66</v>
      </c>
      <c r="G37" s="11" t="s">
        <v>8</v>
      </c>
      <c r="H37" s="11">
        <v>6</v>
      </c>
      <c r="I37" s="12">
        <v>2500</v>
      </c>
      <c r="J37" s="11" t="s">
        <v>76</v>
      </c>
      <c r="K37" s="20">
        <f t="shared" si="1"/>
        <v>15000</v>
      </c>
      <c r="L37" s="11" t="s">
        <v>9</v>
      </c>
    </row>
    <row r="38" spans="1:12" s="14" customFormat="1" x14ac:dyDescent="0.3">
      <c r="A38" s="11">
        <v>37</v>
      </c>
      <c r="B38" s="11" t="s">
        <v>82</v>
      </c>
      <c r="C38" s="11" t="s">
        <v>6</v>
      </c>
      <c r="D38" s="18" t="s">
        <v>50</v>
      </c>
      <c r="E38" s="11" t="s">
        <v>19</v>
      </c>
      <c r="F38" s="11" t="s">
        <v>67</v>
      </c>
      <c r="G38" s="11" t="s">
        <v>8</v>
      </c>
      <c r="H38" s="11">
        <v>6</v>
      </c>
      <c r="I38" s="12">
        <v>2000</v>
      </c>
      <c r="J38" s="11" t="s">
        <v>76</v>
      </c>
      <c r="K38" s="20">
        <f t="shared" si="1"/>
        <v>12000</v>
      </c>
      <c r="L38" s="11" t="s">
        <v>9</v>
      </c>
    </row>
    <row r="39" spans="1:12" s="14" customFormat="1" x14ac:dyDescent="0.3">
      <c r="A39" s="11">
        <v>38</v>
      </c>
      <c r="B39" s="11" t="s">
        <v>75</v>
      </c>
      <c r="C39" s="11" t="s">
        <v>6</v>
      </c>
      <c r="D39" s="18" t="s">
        <v>51</v>
      </c>
      <c r="E39" s="11" t="s">
        <v>20</v>
      </c>
      <c r="F39" s="11" t="s">
        <v>67</v>
      </c>
      <c r="G39" s="11" t="s">
        <v>8</v>
      </c>
      <c r="H39" s="11">
        <v>1</v>
      </c>
      <c r="I39" s="12">
        <v>500000</v>
      </c>
      <c r="J39" s="11" t="s">
        <v>76</v>
      </c>
      <c r="K39" s="20">
        <f t="shared" si="1"/>
        <v>500000</v>
      </c>
      <c r="L39" s="11" t="s">
        <v>9</v>
      </c>
    </row>
    <row r="40" spans="1:12" s="14" customFormat="1" x14ac:dyDescent="0.3">
      <c r="A40" s="11">
        <v>39</v>
      </c>
      <c r="B40" s="11" t="s">
        <v>75</v>
      </c>
      <c r="C40" s="11" t="s">
        <v>6</v>
      </c>
      <c r="D40" s="18" t="s">
        <v>51</v>
      </c>
      <c r="E40" s="11" t="s">
        <v>21</v>
      </c>
      <c r="F40" s="11" t="s">
        <v>67</v>
      </c>
      <c r="G40" s="11" t="s">
        <v>8</v>
      </c>
      <c r="H40" s="11">
        <v>1</v>
      </c>
      <c r="I40" s="12">
        <v>100000</v>
      </c>
      <c r="J40" s="11" t="s">
        <v>76</v>
      </c>
      <c r="K40" s="20">
        <f t="shared" si="1"/>
        <v>100000</v>
      </c>
      <c r="L40" s="11" t="s">
        <v>9</v>
      </c>
    </row>
    <row r="41" spans="1:12" s="14" customFormat="1" x14ac:dyDescent="0.3">
      <c r="A41" s="11">
        <v>40</v>
      </c>
      <c r="B41" s="11" t="s">
        <v>75</v>
      </c>
      <c r="C41" s="11" t="s">
        <v>6</v>
      </c>
      <c r="D41" s="18" t="s">
        <v>51</v>
      </c>
      <c r="E41" s="11" t="s">
        <v>22</v>
      </c>
      <c r="F41" s="11" t="s">
        <v>61</v>
      </c>
      <c r="G41" s="11" t="s">
        <v>8</v>
      </c>
      <c r="H41" s="11">
        <v>1</v>
      </c>
      <c r="I41" s="12">
        <v>150000</v>
      </c>
      <c r="J41" s="11" t="s">
        <v>76</v>
      </c>
      <c r="K41" s="20">
        <f t="shared" si="1"/>
        <v>150000</v>
      </c>
      <c r="L41" s="11" t="s">
        <v>9</v>
      </c>
    </row>
    <row r="42" spans="1:12" s="14" customFormat="1" x14ac:dyDescent="0.3">
      <c r="A42" s="11">
        <v>41</v>
      </c>
      <c r="B42" s="11" t="s">
        <v>75</v>
      </c>
      <c r="C42" s="11" t="s">
        <v>6</v>
      </c>
      <c r="D42" s="18" t="s">
        <v>51</v>
      </c>
      <c r="E42" s="11" t="s">
        <v>23</v>
      </c>
      <c r="F42" s="11" t="s">
        <v>61</v>
      </c>
      <c r="G42" s="11" t="s">
        <v>8</v>
      </c>
      <c r="H42" s="11">
        <v>1</v>
      </c>
      <c r="I42" s="12">
        <v>125000</v>
      </c>
      <c r="J42" s="11" t="s">
        <v>76</v>
      </c>
      <c r="K42" s="20">
        <f t="shared" si="1"/>
        <v>125000</v>
      </c>
      <c r="L42" s="11" t="s">
        <v>9</v>
      </c>
    </row>
    <row r="43" spans="1:12" s="14" customFormat="1" x14ac:dyDescent="0.3">
      <c r="A43" s="11">
        <v>42</v>
      </c>
      <c r="B43" s="11" t="s">
        <v>75</v>
      </c>
      <c r="C43" s="11" t="s">
        <v>6</v>
      </c>
      <c r="D43" s="18" t="s">
        <v>51</v>
      </c>
      <c r="E43" s="11" t="s">
        <v>24</v>
      </c>
      <c r="F43" s="11" t="s">
        <v>67</v>
      </c>
      <c r="G43" s="11" t="s">
        <v>8</v>
      </c>
      <c r="H43" s="11">
        <v>1</v>
      </c>
      <c r="I43" s="12">
        <v>75000</v>
      </c>
      <c r="J43" s="11" t="s">
        <v>76</v>
      </c>
      <c r="K43" s="20">
        <f t="shared" si="1"/>
        <v>75000</v>
      </c>
      <c r="L43" s="11" t="s">
        <v>9</v>
      </c>
    </row>
    <row r="44" spans="1:12" s="14" customFormat="1" x14ac:dyDescent="0.3">
      <c r="A44" s="11">
        <v>43</v>
      </c>
      <c r="B44" s="11" t="s">
        <v>75</v>
      </c>
      <c r="C44" s="11" t="s">
        <v>6</v>
      </c>
      <c r="D44" s="11" t="s">
        <v>25</v>
      </c>
      <c r="E44" s="11" t="s">
        <v>52</v>
      </c>
      <c r="F44" s="11" t="s">
        <v>60</v>
      </c>
      <c r="G44" s="11" t="s">
        <v>8</v>
      </c>
      <c r="H44" s="11">
        <v>1</v>
      </c>
      <c r="I44" s="12">
        <v>50000</v>
      </c>
      <c r="J44" s="11" t="s">
        <v>76</v>
      </c>
      <c r="K44" s="20">
        <f t="shared" si="1"/>
        <v>50000</v>
      </c>
      <c r="L44" s="11" t="s">
        <v>9</v>
      </c>
    </row>
    <row r="45" spans="1:12" s="14" customFormat="1" x14ac:dyDescent="0.3">
      <c r="A45" s="11">
        <v>44</v>
      </c>
      <c r="B45" s="11" t="s">
        <v>75</v>
      </c>
      <c r="C45" s="11" t="s">
        <v>6</v>
      </c>
      <c r="D45" s="11" t="s">
        <v>25</v>
      </c>
      <c r="E45" s="11" t="s">
        <v>53</v>
      </c>
      <c r="F45" s="11" t="s">
        <v>60</v>
      </c>
      <c r="G45" s="11" t="s">
        <v>8</v>
      </c>
      <c r="H45" s="11">
        <v>1</v>
      </c>
      <c r="I45" s="12">
        <v>5000</v>
      </c>
      <c r="J45" s="11" t="s">
        <v>76</v>
      </c>
      <c r="K45" s="20">
        <f t="shared" si="1"/>
        <v>5000</v>
      </c>
      <c r="L45" s="11" t="s">
        <v>9</v>
      </c>
    </row>
    <row r="46" spans="1:12" s="14" customFormat="1" x14ac:dyDescent="0.3">
      <c r="A46" s="11">
        <v>45</v>
      </c>
      <c r="B46" s="11" t="s">
        <v>75</v>
      </c>
      <c r="C46" s="11" t="s">
        <v>6</v>
      </c>
      <c r="D46" s="11" t="s">
        <v>25</v>
      </c>
      <c r="E46" s="11" t="s">
        <v>54</v>
      </c>
      <c r="F46" s="11" t="s">
        <v>60</v>
      </c>
      <c r="G46" s="11" t="s">
        <v>8</v>
      </c>
      <c r="H46" s="11">
        <v>1</v>
      </c>
      <c r="I46" s="12">
        <v>2000</v>
      </c>
      <c r="J46" s="11" t="s">
        <v>76</v>
      </c>
      <c r="K46" s="20">
        <f t="shared" si="1"/>
        <v>2000</v>
      </c>
      <c r="L46" s="11" t="s">
        <v>9</v>
      </c>
    </row>
    <row r="47" spans="1:12" s="14" customFormat="1" x14ac:dyDescent="0.3">
      <c r="A47" s="11">
        <v>46</v>
      </c>
      <c r="B47" s="11" t="s">
        <v>75</v>
      </c>
      <c r="C47" s="11" t="s">
        <v>6</v>
      </c>
      <c r="D47" s="11" t="s">
        <v>25</v>
      </c>
      <c r="E47" s="11" t="s">
        <v>56</v>
      </c>
      <c r="F47" s="11" t="s">
        <v>60</v>
      </c>
      <c r="G47" s="11" t="s">
        <v>8</v>
      </c>
      <c r="H47" s="11">
        <v>1</v>
      </c>
      <c r="I47" s="12">
        <v>10000</v>
      </c>
      <c r="J47" s="11" t="s">
        <v>76</v>
      </c>
      <c r="K47" s="20">
        <f t="shared" si="1"/>
        <v>10000</v>
      </c>
      <c r="L47" s="11" t="s">
        <v>9</v>
      </c>
    </row>
    <row r="48" spans="1:12" s="14" customFormat="1" x14ac:dyDescent="0.3">
      <c r="A48" s="11">
        <v>47</v>
      </c>
      <c r="B48" s="11" t="s">
        <v>82</v>
      </c>
      <c r="C48" s="11" t="s">
        <v>6</v>
      </c>
      <c r="D48" s="18" t="s">
        <v>55</v>
      </c>
      <c r="E48" s="11" t="s">
        <v>26</v>
      </c>
      <c r="F48" s="11" t="s">
        <v>59</v>
      </c>
      <c r="G48" s="11" t="s">
        <v>8</v>
      </c>
      <c r="H48" s="11">
        <v>1</v>
      </c>
      <c r="I48" s="12">
        <v>15000</v>
      </c>
      <c r="J48" s="11" t="s">
        <v>76</v>
      </c>
      <c r="K48" s="20">
        <f t="shared" si="1"/>
        <v>15000</v>
      </c>
      <c r="L48" s="11" t="s">
        <v>9</v>
      </c>
    </row>
    <row r="49" spans="1:12" s="14" customFormat="1" x14ac:dyDescent="0.3">
      <c r="A49" s="11">
        <v>48</v>
      </c>
      <c r="B49" s="11" t="s">
        <v>82</v>
      </c>
      <c r="C49" s="11" t="s">
        <v>6</v>
      </c>
      <c r="D49" s="18" t="s">
        <v>50</v>
      </c>
      <c r="E49" s="11" t="s">
        <v>27</v>
      </c>
      <c r="F49" s="11" t="s">
        <v>59</v>
      </c>
      <c r="G49" s="11" t="s">
        <v>8</v>
      </c>
      <c r="H49" s="11">
        <v>1</v>
      </c>
      <c r="I49" s="12">
        <v>10000</v>
      </c>
      <c r="J49" s="11" t="s">
        <v>76</v>
      </c>
      <c r="K49" s="20">
        <f t="shared" si="1"/>
        <v>10000</v>
      </c>
      <c r="L49" s="11" t="s">
        <v>9</v>
      </c>
    </row>
    <row r="50" spans="1:12" x14ac:dyDescent="0.3">
      <c r="D5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4203-05D8-4001-B1FE-294323808CE7}">
  <dimension ref="A1:K26"/>
  <sheetViews>
    <sheetView tabSelected="1" workbookViewId="0">
      <selection activeCell="I11" sqref="I11"/>
    </sheetView>
  </sheetViews>
  <sheetFormatPr defaultRowHeight="14.4" x14ac:dyDescent="0.3"/>
  <cols>
    <col min="1" max="1" width="6.88671875" bestFit="1" customWidth="1"/>
    <col min="2" max="2" width="12.6640625" bestFit="1" customWidth="1"/>
    <col min="3" max="3" width="13.33203125" bestFit="1" customWidth="1"/>
    <col min="4" max="4" width="18.21875" bestFit="1" customWidth="1"/>
    <col min="5" max="5" width="23.33203125" bestFit="1" customWidth="1"/>
    <col min="6" max="6" width="5" bestFit="1" customWidth="1"/>
    <col min="7" max="8" width="11.44140625" bestFit="1" customWidth="1"/>
    <col min="9" max="9" width="13.77734375" bestFit="1" customWidth="1"/>
    <col min="10" max="10" width="12.33203125" bestFit="1" customWidth="1"/>
    <col min="11" max="11" width="6.77734375" bestFit="1" customWidth="1"/>
  </cols>
  <sheetData>
    <row r="1" spans="1:11" ht="15.6" x14ac:dyDescent="0.3">
      <c r="A1" s="1" t="s">
        <v>0</v>
      </c>
      <c r="B1" s="1" t="s">
        <v>70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73</v>
      </c>
      <c r="H1" s="9" t="s">
        <v>71</v>
      </c>
      <c r="I1" s="6" t="s">
        <v>74</v>
      </c>
      <c r="J1" s="7" t="s">
        <v>72</v>
      </c>
      <c r="K1" s="1" t="s">
        <v>5</v>
      </c>
    </row>
    <row r="2" spans="1:11" ht="15.6" x14ac:dyDescent="0.3">
      <c r="A2" s="11">
        <v>1</v>
      </c>
      <c r="B2" s="11" t="s">
        <v>77</v>
      </c>
      <c r="C2" s="11" t="s">
        <v>6</v>
      </c>
      <c r="D2" s="11" t="s">
        <v>47</v>
      </c>
      <c r="E2" s="3" t="s">
        <v>41</v>
      </c>
      <c r="F2" s="11" t="s">
        <v>12</v>
      </c>
      <c r="G2" s="11">
        <v>1000</v>
      </c>
      <c r="H2" s="12">
        <v>60</v>
      </c>
      <c r="I2" s="11" t="s">
        <v>76</v>
      </c>
      <c r="J2" s="20">
        <f t="shared" ref="J2:J16" si="0">G2*H2</f>
        <v>60000</v>
      </c>
      <c r="K2" s="11" t="s">
        <v>9</v>
      </c>
    </row>
    <row r="3" spans="1:11" ht="15.6" x14ac:dyDescent="0.3">
      <c r="A3" s="11">
        <v>2</v>
      </c>
      <c r="B3" s="11" t="s">
        <v>77</v>
      </c>
      <c r="C3" s="11" t="s">
        <v>6</v>
      </c>
      <c r="D3" s="11" t="s">
        <v>47</v>
      </c>
      <c r="E3" s="3" t="s">
        <v>43</v>
      </c>
      <c r="F3" s="11" t="s">
        <v>8</v>
      </c>
      <c r="G3" s="11">
        <v>5</v>
      </c>
      <c r="H3" s="12">
        <v>1000</v>
      </c>
      <c r="I3" s="11" t="s">
        <v>76</v>
      </c>
      <c r="J3" s="20">
        <f t="shared" si="0"/>
        <v>5000</v>
      </c>
      <c r="K3" s="11" t="s">
        <v>9</v>
      </c>
    </row>
    <row r="4" spans="1:11" ht="15.6" x14ac:dyDescent="0.3">
      <c r="A4" s="11">
        <v>3</v>
      </c>
      <c r="B4" s="11" t="s">
        <v>77</v>
      </c>
      <c r="C4" s="11" t="s">
        <v>6</v>
      </c>
      <c r="D4" s="11" t="s">
        <v>47</v>
      </c>
      <c r="E4" s="3" t="s">
        <v>42</v>
      </c>
      <c r="F4" s="11" t="s">
        <v>8</v>
      </c>
      <c r="G4" s="11">
        <v>5</v>
      </c>
      <c r="H4" s="12">
        <v>800</v>
      </c>
      <c r="I4" s="11" t="s">
        <v>76</v>
      </c>
      <c r="J4" s="20">
        <f t="shared" si="0"/>
        <v>4000</v>
      </c>
      <c r="K4" s="11" t="s">
        <v>9</v>
      </c>
    </row>
    <row r="5" spans="1:11" s="21" customFormat="1" ht="15.6" x14ac:dyDescent="0.3">
      <c r="A5" s="15">
        <v>4</v>
      </c>
      <c r="B5" s="15" t="s">
        <v>77</v>
      </c>
      <c r="C5" s="15" t="s">
        <v>6</v>
      </c>
      <c r="D5" s="15" t="s">
        <v>47</v>
      </c>
      <c r="E5" s="16" t="s">
        <v>44</v>
      </c>
      <c r="F5" s="15" t="s">
        <v>12</v>
      </c>
      <c r="G5" s="15">
        <v>1000</v>
      </c>
      <c r="H5" s="17">
        <v>70</v>
      </c>
      <c r="I5" s="15" t="s">
        <v>76</v>
      </c>
      <c r="J5" s="13">
        <f t="shared" si="0"/>
        <v>70000</v>
      </c>
      <c r="K5" s="15" t="s">
        <v>9</v>
      </c>
    </row>
    <row r="6" spans="1:11" ht="15.6" x14ac:dyDescent="0.3">
      <c r="A6" s="11">
        <v>5</v>
      </c>
      <c r="B6" s="11" t="s">
        <v>77</v>
      </c>
      <c r="C6" s="11" t="s">
        <v>6</v>
      </c>
      <c r="D6" s="11" t="s">
        <v>47</v>
      </c>
      <c r="E6" s="3" t="s">
        <v>46</v>
      </c>
      <c r="F6" s="11" t="s">
        <v>8</v>
      </c>
      <c r="G6" s="11">
        <v>3</v>
      </c>
      <c r="H6" s="12">
        <v>1500</v>
      </c>
      <c r="I6" s="11" t="s">
        <v>76</v>
      </c>
      <c r="J6" s="20">
        <f t="shared" si="0"/>
        <v>4500</v>
      </c>
      <c r="K6" s="11" t="s">
        <v>9</v>
      </c>
    </row>
    <row r="7" spans="1:11" ht="15.6" x14ac:dyDescent="0.3">
      <c r="A7" s="11">
        <v>6</v>
      </c>
      <c r="B7" s="11" t="s">
        <v>77</v>
      </c>
      <c r="C7" s="11" t="s">
        <v>6</v>
      </c>
      <c r="D7" s="11" t="s">
        <v>47</v>
      </c>
      <c r="E7" s="3" t="s">
        <v>45</v>
      </c>
      <c r="F7" s="11" t="s">
        <v>8</v>
      </c>
      <c r="G7" s="11">
        <v>3</v>
      </c>
      <c r="H7" s="12">
        <v>1000</v>
      </c>
      <c r="I7" s="11" t="s">
        <v>76</v>
      </c>
      <c r="J7" s="20">
        <f t="shared" si="0"/>
        <v>3000</v>
      </c>
      <c r="K7" s="11" t="s">
        <v>9</v>
      </c>
    </row>
    <row r="8" spans="1:11" ht="15.6" x14ac:dyDescent="0.3">
      <c r="A8" s="11">
        <v>7</v>
      </c>
      <c r="B8" s="11" t="s">
        <v>77</v>
      </c>
      <c r="C8" s="11" t="s">
        <v>6</v>
      </c>
      <c r="D8" s="11" t="s">
        <v>47</v>
      </c>
      <c r="E8" s="3" t="s">
        <v>38</v>
      </c>
      <c r="F8" s="11" t="s">
        <v>12</v>
      </c>
      <c r="G8" s="11">
        <v>1000</v>
      </c>
      <c r="H8" s="12">
        <v>80</v>
      </c>
      <c r="I8" s="11" t="s">
        <v>76</v>
      </c>
      <c r="J8" s="20">
        <f t="shared" si="0"/>
        <v>80000</v>
      </c>
      <c r="K8" s="11" t="s">
        <v>9</v>
      </c>
    </row>
    <row r="9" spans="1:11" ht="15.6" x14ac:dyDescent="0.3">
      <c r="A9" s="11">
        <v>8</v>
      </c>
      <c r="B9" s="11" t="s">
        <v>77</v>
      </c>
      <c r="C9" s="11" t="s">
        <v>6</v>
      </c>
      <c r="D9" s="11" t="s">
        <v>47</v>
      </c>
      <c r="E9" s="3" t="s">
        <v>40</v>
      </c>
      <c r="F9" s="11" t="s">
        <v>8</v>
      </c>
      <c r="G9" s="11">
        <v>5</v>
      </c>
      <c r="H9" s="12">
        <v>1500</v>
      </c>
      <c r="I9" s="11" t="s">
        <v>76</v>
      </c>
      <c r="J9" s="20">
        <f t="shared" si="0"/>
        <v>7500</v>
      </c>
      <c r="K9" s="11" t="s">
        <v>9</v>
      </c>
    </row>
    <row r="10" spans="1:11" ht="15.6" x14ac:dyDescent="0.3">
      <c r="A10" s="11">
        <v>9</v>
      </c>
      <c r="B10" s="11" t="s">
        <v>77</v>
      </c>
      <c r="C10" s="11" t="s">
        <v>6</v>
      </c>
      <c r="D10" s="11" t="s">
        <v>47</v>
      </c>
      <c r="E10" s="3" t="s">
        <v>39</v>
      </c>
      <c r="F10" s="11" t="s">
        <v>8</v>
      </c>
      <c r="G10" s="11">
        <v>5</v>
      </c>
      <c r="H10" s="12">
        <v>1000</v>
      </c>
      <c r="I10" s="11" t="s">
        <v>76</v>
      </c>
      <c r="J10" s="20">
        <f t="shared" si="0"/>
        <v>5000</v>
      </c>
      <c r="K10" s="11" t="s">
        <v>9</v>
      </c>
    </row>
    <row r="11" spans="1:11" x14ac:dyDescent="0.3">
      <c r="A11" s="22">
        <v>10</v>
      </c>
      <c r="B11" s="11" t="s">
        <v>77</v>
      </c>
      <c r="C11" s="11" t="s">
        <v>6</v>
      </c>
      <c r="D11" s="18" t="s">
        <v>48</v>
      </c>
      <c r="E11" s="11" t="s">
        <v>10</v>
      </c>
      <c r="F11" s="11" t="s">
        <v>8</v>
      </c>
      <c r="G11" s="11">
        <v>1</v>
      </c>
      <c r="H11" s="12">
        <v>3000</v>
      </c>
      <c r="I11" s="11" t="s">
        <v>76</v>
      </c>
      <c r="J11" s="20">
        <f t="shared" si="0"/>
        <v>3000</v>
      </c>
      <c r="K11" s="11" t="s">
        <v>9</v>
      </c>
    </row>
    <row r="12" spans="1:11" x14ac:dyDescent="0.3">
      <c r="A12" s="11">
        <v>11</v>
      </c>
      <c r="B12" s="11" t="s">
        <v>80</v>
      </c>
      <c r="C12" s="11" t="s">
        <v>6</v>
      </c>
      <c r="D12" s="18" t="s">
        <v>49</v>
      </c>
      <c r="E12" s="11" t="s">
        <v>14</v>
      </c>
      <c r="F12" s="11" t="s">
        <v>12</v>
      </c>
      <c r="G12" s="11">
        <v>150</v>
      </c>
      <c r="H12" s="12">
        <v>1600</v>
      </c>
      <c r="I12" s="11" t="s">
        <v>76</v>
      </c>
      <c r="J12" s="20">
        <f t="shared" si="0"/>
        <v>240000</v>
      </c>
      <c r="K12" s="11" t="s">
        <v>9</v>
      </c>
    </row>
    <row r="13" spans="1:11" x14ac:dyDescent="0.3">
      <c r="A13" s="11">
        <v>12</v>
      </c>
      <c r="B13" s="11" t="s">
        <v>80</v>
      </c>
      <c r="C13" s="11" t="s">
        <v>6</v>
      </c>
      <c r="D13" s="18" t="s">
        <v>49</v>
      </c>
      <c r="E13" s="11" t="s">
        <v>15</v>
      </c>
      <c r="F13" s="11" t="s">
        <v>12</v>
      </c>
      <c r="G13" s="11">
        <v>120</v>
      </c>
      <c r="H13" s="12">
        <v>1800</v>
      </c>
      <c r="I13" s="11" t="s">
        <v>76</v>
      </c>
      <c r="J13" s="20">
        <f t="shared" si="0"/>
        <v>216000</v>
      </c>
      <c r="K13" s="11" t="s">
        <v>9</v>
      </c>
    </row>
    <row r="14" spans="1:11" x14ac:dyDescent="0.3">
      <c r="A14" s="15">
        <v>13</v>
      </c>
      <c r="B14" s="15" t="s">
        <v>78</v>
      </c>
      <c r="C14" s="15" t="s">
        <v>6</v>
      </c>
      <c r="D14" s="19" t="s">
        <v>49</v>
      </c>
      <c r="E14" s="15" t="s">
        <v>11</v>
      </c>
      <c r="F14" s="15" t="s">
        <v>12</v>
      </c>
      <c r="G14" s="15">
        <v>240</v>
      </c>
      <c r="H14" s="17">
        <v>2000</v>
      </c>
      <c r="I14" s="15" t="s">
        <v>76</v>
      </c>
      <c r="J14" s="13">
        <f t="shared" si="0"/>
        <v>480000</v>
      </c>
      <c r="K14" s="15" t="s">
        <v>9</v>
      </c>
    </row>
    <row r="15" spans="1:11" x14ac:dyDescent="0.3">
      <c r="A15" s="11">
        <v>14</v>
      </c>
      <c r="B15" s="11" t="s">
        <v>79</v>
      </c>
      <c r="C15" s="11" t="s">
        <v>6</v>
      </c>
      <c r="D15" s="18" t="s">
        <v>49</v>
      </c>
      <c r="E15" s="11" t="s">
        <v>13</v>
      </c>
      <c r="F15" s="11" t="s">
        <v>12</v>
      </c>
      <c r="G15" s="11">
        <v>300</v>
      </c>
      <c r="H15" s="12">
        <v>1500</v>
      </c>
      <c r="I15" s="11" t="s">
        <v>76</v>
      </c>
      <c r="J15" s="20">
        <f t="shared" si="0"/>
        <v>450000</v>
      </c>
      <c r="K15" s="11" t="s">
        <v>9</v>
      </c>
    </row>
    <row r="16" spans="1:11" x14ac:dyDescent="0.3">
      <c r="A16" s="11">
        <v>15</v>
      </c>
      <c r="B16" s="11" t="s">
        <v>81</v>
      </c>
      <c r="C16" s="11" t="s">
        <v>6</v>
      </c>
      <c r="D16" s="18" t="s">
        <v>49</v>
      </c>
      <c r="E16" s="11" t="s">
        <v>16</v>
      </c>
      <c r="F16" s="11" t="s">
        <v>12</v>
      </c>
      <c r="G16" s="11">
        <v>100</v>
      </c>
      <c r="H16" s="12">
        <v>700</v>
      </c>
      <c r="I16" s="11" t="s">
        <v>76</v>
      </c>
      <c r="J16" s="20">
        <f t="shared" si="0"/>
        <v>70000</v>
      </c>
      <c r="K16" s="11" t="s">
        <v>9</v>
      </c>
    </row>
    <row r="17" spans="1:11" ht="15.6" x14ac:dyDescent="0.3">
      <c r="A17" s="22">
        <v>16</v>
      </c>
      <c r="B17" s="11" t="s">
        <v>75</v>
      </c>
      <c r="C17" s="11" t="s">
        <v>6</v>
      </c>
      <c r="D17" s="11" t="s">
        <v>7</v>
      </c>
      <c r="E17" s="3" t="s">
        <v>57</v>
      </c>
      <c r="F17" s="11" t="s">
        <v>8</v>
      </c>
      <c r="G17" s="11">
        <v>4</v>
      </c>
      <c r="H17" s="12">
        <v>1800000</v>
      </c>
      <c r="I17" s="11" t="s">
        <v>76</v>
      </c>
      <c r="J17" s="20">
        <f t="shared" ref="J17" si="1">G17*H17</f>
        <v>7200000</v>
      </c>
      <c r="K17" s="11" t="s">
        <v>9</v>
      </c>
    </row>
    <row r="18" spans="1:11" ht="15.6" x14ac:dyDescent="0.3">
      <c r="A18" s="11">
        <v>17</v>
      </c>
      <c r="B18" s="11" t="s">
        <v>75</v>
      </c>
      <c r="C18" s="11" t="s">
        <v>6</v>
      </c>
      <c r="D18" s="11" t="s">
        <v>28</v>
      </c>
      <c r="E18" s="3" t="s">
        <v>35</v>
      </c>
      <c r="F18" s="11" t="s">
        <v>12</v>
      </c>
      <c r="G18" s="11">
        <v>2000</v>
      </c>
      <c r="H18" s="12">
        <v>80</v>
      </c>
      <c r="I18" s="11" t="s">
        <v>76</v>
      </c>
      <c r="J18" s="20">
        <f t="shared" ref="J18:J23" si="2">G18*H18</f>
        <v>160000</v>
      </c>
      <c r="K18" s="11" t="s">
        <v>9</v>
      </c>
    </row>
    <row r="19" spans="1:11" ht="15.6" x14ac:dyDescent="0.3">
      <c r="A19" s="11">
        <v>18</v>
      </c>
      <c r="B19" s="11" t="s">
        <v>75</v>
      </c>
      <c r="C19" s="11" t="s">
        <v>6</v>
      </c>
      <c r="D19" s="11" t="s">
        <v>28</v>
      </c>
      <c r="E19" s="3" t="s">
        <v>36</v>
      </c>
      <c r="F19" s="11" t="s">
        <v>8</v>
      </c>
      <c r="G19" s="11">
        <v>5</v>
      </c>
      <c r="H19" s="12">
        <v>1000</v>
      </c>
      <c r="I19" s="11" t="s">
        <v>76</v>
      </c>
      <c r="J19" s="20">
        <f t="shared" si="2"/>
        <v>5000</v>
      </c>
      <c r="K19" s="11" t="s">
        <v>9</v>
      </c>
    </row>
    <row r="20" spans="1:11" ht="15.6" x14ac:dyDescent="0.3">
      <c r="A20" s="11">
        <v>19</v>
      </c>
      <c r="B20" s="11" t="s">
        <v>75</v>
      </c>
      <c r="C20" s="11" t="s">
        <v>6</v>
      </c>
      <c r="D20" s="11" t="s">
        <v>28</v>
      </c>
      <c r="E20" s="3" t="s">
        <v>37</v>
      </c>
      <c r="F20" s="11" t="s">
        <v>8</v>
      </c>
      <c r="G20" s="11">
        <v>5</v>
      </c>
      <c r="H20" s="12">
        <v>1500</v>
      </c>
      <c r="I20" s="11" t="s">
        <v>76</v>
      </c>
      <c r="J20" s="20">
        <f t="shared" si="2"/>
        <v>7500</v>
      </c>
      <c r="K20" s="11" t="s">
        <v>9</v>
      </c>
    </row>
    <row r="21" spans="1:11" ht="15.6" x14ac:dyDescent="0.3">
      <c r="A21" s="11">
        <v>20</v>
      </c>
      <c r="B21" s="11" t="s">
        <v>75</v>
      </c>
      <c r="C21" s="11" t="s">
        <v>6</v>
      </c>
      <c r="D21" s="11" t="s">
        <v>28</v>
      </c>
      <c r="E21" s="3" t="s">
        <v>32</v>
      </c>
      <c r="F21" s="11" t="s">
        <v>12</v>
      </c>
      <c r="G21" s="11">
        <v>1500</v>
      </c>
      <c r="H21" s="12">
        <v>100</v>
      </c>
      <c r="I21" s="11" t="s">
        <v>76</v>
      </c>
      <c r="J21" s="20">
        <f t="shared" si="2"/>
        <v>150000</v>
      </c>
      <c r="K21" s="11" t="s">
        <v>9</v>
      </c>
    </row>
    <row r="22" spans="1:11" ht="15.6" x14ac:dyDescent="0.3">
      <c r="A22" s="11">
        <v>21</v>
      </c>
      <c r="B22" s="11" t="s">
        <v>75</v>
      </c>
      <c r="C22" s="11" t="s">
        <v>6</v>
      </c>
      <c r="D22" s="11" t="s">
        <v>28</v>
      </c>
      <c r="E22" s="3" t="s">
        <v>33</v>
      </c>
      <c r="F22" s="11" t="s">
        <v>8</v>
      </c>
      <c r="G22" s="11">
        <v>3</v>
      </c>
      <c r="H22" s="12">
        <v>1500</v>
      </c>
      <c r="I22" s="11" t="s">
        <v>76</v>
      </c>
      <c r="J22" s="20">
        <f t="shared" si="2"/>
        <v>4500</v>
      </c>
      <c r="K22" s="11" t="s">
        <v>9</v>
      </c>
    </row>
    <row r="23" spans="1:11" ht="15.6" x14ac:dyDescent="0.3">
      <c r="A23" s="11">
        <v>22</v>
      </c>
      <c r="B23" s="11" t="s">
        <v>75</v>
      </c>
      <c r="C23" s="11" t="s">
        <v>6</v>
      </c>
      <c r="D23" s="11" t="s">
        <v>28</v>
      </c>
      <c r="E23" s="3" t="s">
        <v>34</v>
      </c>
      <c r="F23" s="11" t="s">
        <v>8</v>
      </c>
      <c r="G23" s="11">
        <v>3</v>
      </c>
      <c r="H23" s="12">
        <v>2000</v>
      </c>
      <c r="I23" s="11" t="s">
        <v>76</v>
      </c>
      <c r="J23" s="20">
        <f t="shared" si="2"/>
        <v>6000</v>
      </c>
      <c r="K23" s="11" t="s">
        <v>9</v>
      </c>
    </row>
    <row r="24" spans="1:11" s="21" customFormat="1" ht="15.6" x14ac:dyDescent="0.3">
      <c r="A24" s="23">
        <v>23</v>
      </c>
      <c r="B24" s="15" t="s">
        <v>75</v>
      </c>
      <c r="C24" s="15" t="s">
        <v>6</v>
      </c>
      <c r="D24" s="15" t="s">
        <v>28</v>
      </c>
      <c r="E24" s="16" t="s">
        <v>29</v>
      </c>
      <c r="F24" s="15" t="s">
        <v>12</v>
      </c>
      <c r="G24" s="15">
        <v>1000</v>
      </c>
      <c r="H24" s="17">
        <v>100</v>
      </c>
      <c r="I24" s="15" t="s">
        <v>76</v>
      </c>
      <c r="J24" s="13">
        <f>G24*H24</f>
        <v>100000</v>
      </c>
      <c r="K24" s="15" t="s">
        <v>9</v>
      </c>
    </row>
    <row r="25" spans="1:11" ht="15.6" x14ac:dyDescent="0.3">
      <c r="A25" s="15">
        <v>24</v>
      </c>
      <c r="B25" s="15" t="s">
        <v>75</v>
      </c>
      <c r="C25" s="15" t="s">
        <v>6</v>
      </c>
      <c r="D25" s="15" t="s">
        <v>28</v>
      </c>
      <c r="E25" s="16" t="s">
        <v>30</v>
      </c>
      <c r="F25" s="15" t="s">
        <v>8</v>
      </c>
      <c r="G25" s="15">
        <v>7</v>
      </c>
      <c r="H25" s="17">
        <v>1500</v>
      </c>
      <c r="I25" s="15" t="s">
        <v>76</v>
      </c>
      <c r="J25" s="13">
        <f t="shared" ref="J25:J26" si="3">G25*H25</f>
        <v>10500</v>
      </c>
      <c r="K25" s="15" t="s">
        <v>9</v>
      </c>
    </row>
    <row r="26" spans="1:11" ht="15.6" x14ac:dyDescent="0.3">
      <c r="A26" s="15">
        <v>25</v>
      </c>
      <c r="B26" s="15" t="s">
        <v>75</v>
      </c>
      <c r="C26" s="15" t="s">
        <v>6</v>
      </c>
      <c r="D26" s="15" t="s">
        <v>28</v>
      </c>
      <c r="E26" s="16" t="s">
        <v>31</v>
      </c>
      <c r="F26" s="15" t="s">
        <v>8</v>
      </c>
      <c r="G26" s="15">
        <v>7</v>
      </c>
      <c r="H26" s="17">
        <v>2000</v>
      </c>
      <c r="I26" s="15" t="s">
        <v>76</v>
      </c>
      <c r="J26" s="13">
        <f t="shared" si="3"/>
        <v>14000</v>
      </c>
      <c r="K26" s="1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Sub_Contractor_Master</vt:lpstr>
      <vt:lpstr>Material_Master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Rana Guha</cp:lastModifiedBy>
  <dcterms:created xsi:type="dcterms:W3CDTF">2015-06-05T18:17:20Z</dcterms:created>
  <dcterms:modified xsi:type="dcterms:W3CDTF">2026-09-14T09:39:34Z</dcterms:modified>
</cp:coreProperties>
</file>