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Bulk Sheet 1" sheetId="1" r:id="rId1"/>
    <sheet name="SNP H.O" sheetId="2" r:id="rId2"/>
    <sheet name="SNP Project" sheetId="3" r:id="rId3"/>
  </sheets>
  <calcPr calcId="124519"/>
</workbook>
</file>

<file path=xl/calcChain.xml><?xml version="1.0" encoding="utf-8"?>
<calcChain xmlns="http://schemas.openxmlformats.org/spreadsheetml/2006/main">
  <c r="F34" i="1"/>
  <c r="F26" i="3" l="1"/>
  <c r="A17"/>
  <c r="A18" s="1"/>
  <c r="A19" s="1"/>
  <c r="A20" s="1"/>
  <c r="A21" s="1"/>
  <c r="A22" s="1"/>
  <c r="A23" s="1"/>
  <c r="A24" s="1"/>
  <c r="A25" s="1"/>
  <c r="F28" i="2"/>
  <c r="A17"/>
  <c r="A18" s="1"/>
  <c r="A19" s="1"/>
  <c r="A20" s="1"/>
  <c r="A21" s="1"/>
  <c r="A22" s="1"/>
  <c r="A23" s="1"/>
  <c r="A24" s="1"/>
  <c r="A25" s="1"/>
  <c r="A26" s="1"/>
  <c r="A27" s="1"/>
</calcChain>
</file>

<file path=xl/sharedStrings.xml><?xml version="1.0" encoding="utf-8"?>
<sst xmlns="http://schemas.openxmlformats.org/spreadsheetml/2006/main" count="164" uniqueCount="112">
  <si>
    <t>TO</t>
  </si>
  <si>
    <t>The Branch Manager,</t>
  </si>
  <si>
    <t>Canara Bank,</t>
  </si>
  <si>
    <t>SME Branch,</t>
  </si>
  <si>
    <t>Sevoke Road, Siliguri -1.</t>
  </si>
  <si>
    <r>
      <t xml:space="preserve">Sub: </t>
    </r>
    <r>
      <rPr>
        <b/>
        <u/>
        <sz val="11"/>
        <color theme="1"/>
        <rFont val="Cambria"/>
        <family val="1"/>
        <scheme val="major"/>
      </rPr>
      <t>Multiple / NEFT/Transfer  Payment.</t>
    </r>
  </si>
  <si>
    <t>Dear Sir,</t>
  </si>
  <si>
    <t>Please remit the following payments to the respective bank accounts as mentioned below.</t>
  </si>
  <si>
    <r>
      <t xml:space="preserve">Vide Number </t>
    </r>
    <r>
      <rPr>
        <b/>
        <sz val="11"/>
        <color theme="1"/>
        <rFont val="Cambria"/>
        <family val="1"/>
        <scheme val="major"/>
      </rPr>
      <t xml:space="preserve">5006201000154 </t>
    </r>
    <r>
      <rPr>
        <sz val="11"/>
        <color theme="1"/>
        <rFont val="Cambria"/>
        <family val="1"/>
        <scheme val="major"/>
      </rPr>
      <t xml:space="preserve">of </t>
    </r>
    <r>
      <rPr>
        <b/>
        <sz val="11"/>
        <color theme="1"/>
        <rFont val="Cambria"/>
        <family val="1"/>
        <scheme val="major"/>
      </rPr>
      <t>S. N. Polymers Pvt. Ltd.</t>
    </r>
  </si>
  <si>
    <t>Sl. No.</t>
  </si>
  <si>
    <t>Beneficiary Name</t>
  </si>
  <si>
    <t>Account  No.</t>
  </si>
  <si>
    <t>Bank Name</t>
  </si>
  <si>
    <t>IFSC Code</t>
  </si>
  <si>
    <t>Amount</t>
  </si>
  <si>
    <t>SOURAV CHATTERJEE</t>
  </si>
  <si>
    <t>35172278914</t>
  </si>
  <si>
    <t>STATE BANK OF INDIA</t>
  </si>
  <si>
    <t>SBIN0009171</t>
  </si>
  <si>
    <t>MOUMITA GHOSH</t>
  </si>
  <si>
    <t>SBIN0004789</t>
  </si>
  <si>
    <t>IDIB000J547</t>
  </si>
  <si>
    <t>BARB0BRGBXX</t>
  </si>
  <si>
    <t>PIYUSH KUMAR ROY</t>
  </si>
  <si>
    <t>34213064449</t>
  </si>
  <si>
    <t>State Bank of India</t>
  </si>
  <si>
    <t>SBIN0015951</t>
  </si>
  <si>
    <t>BISWAJIT PATRA</t>
  </si>
  <si>
    <t>50122360485</t>
  </si>
  <si>
    <t>Indian Bank</t>
  </si>
  <si>
    <t>IDIB000T512</t>
  </si>
  <si>
    <t>MAKSEDUL HAMID</t>
  </si>
  <si>
    <t>33036686389</t>
  </si>
  <si>
    <t>SBIN0015949</t>
  </si>
  <si>
    <t>RAJU SEN</t>
  </si>
  <si>
    <t>INDIAN BANK</t>
  </si>
  <si>
    <t>TERMS &amp; CONDITIONS</t>
  </si>
  <si>
    <t>1.   I/We agree that credit will be effected based solely on the beneficiary account number information provided by me/us and the beneficiary name particulars will not be used.</t>
  </si>
  <si>
    <t>2. I/We hereby authroised Canara bank to carry out the RTGS transactions as per the details  mentioned overleaf.</t>
  </si>
  <si>
    <t>3. I/We understand RTGS request is subject to the RBI regulations and guidelines governing the same.</t>
  </si>
  <si>
    <t>4. I/We authorise the Bank to debit my/our account for the charges plus charges taxes as applicable.</t>
  </si>
  <si>
    <t xml:space="preserve">5. I/We hereby aeree that aforesaid details including the IFSC code and beneficiary account are correct. I/We further acknowledge that Canara Bank accepts no liability for any consepuences arising out of erroneous details provide by me/us. </t>
  </si>
  <si>
    <t>Thanking You</t>
  </si>
  <si>
    <t>Yours faithfully</t>
  </si>
  <si>
    <t>Date: 20.02.2024</t>
  </si>
  <si>
    <t xml:space="preserve">Canara Bank </t>
  </si>
  <si>
    <t>S.M.E Branch</t>
  </si>
  <si>
    <t>Siliguri-734001</t>
  </si>
  <si>
    <r>
      <t xml:space="preserve">Sub: </t>
    </r>
    <r>
      <rPr>
        <b/>
        <u/>
        <sz val="11"/>
        <color theme="1"/>
        <rFont val="Cambria"/>
        <family val="1"/>
        <scheme val="major"/>
      </rPr>
      <t>Multiple RTGS / NEFT Payment.</t>
    </r>
  </si>
  <si>
    <r>
      <t xml:space="preserve"> Kindly remit the amount after debiting the said amount from our CC A/c </t>
    </r>
    <r>
      <rPr>
        <b/>
        <sz val="10"/>
        <color theme="1"/>
        <rFont val="Cambria"/>
        <family val="1"/>
        <scheme val="major"/>
      </rPr>
      <t xml:space="preserve"> </t>
    </r>
  </si>
  <si>
    <r>
      <t>Vide Number</t>
    </r>
    <r>
      <rPr>
        <b/>
        <sz val="11"/>
        <color theme="1"/>
        <rFont val="Cambria"/>
        <family val="1"/>
        <scheme val="major"/>
      </rPr>
      <t xml:space="preserve"> 5006201000154 </t>
    </r>
    <r>
      <rPr>
        <sz val="11"/>
        <color theme="1"/>
        <rFont val="Cambria"/>
        <family val="1"/>
        <scheme val="major"/>
      </rPr>
      <t xml:space="preserve">of </t>
    </r>
    <r>
      <rPr>
        <b/>
        <sz val="11"/>
        <color theme="1"/>
        <rFont val="Cambria"/>
        <family val="1"/>
        <scheme val="major"/>
      </rPr>
      <t>S. N. Polymers Pvt. Ltd.</t>
    </r>
  </si>
  <si>
    <t>Sl.
No.</t>
  </si>
  <si>
    <t>PINTU RAY</t>
  </si>
  <si>
    <t>502102011105809</t>
  </si>
  <si>
    <t>Union Bank of India</t>
  </si>
  <si>
    <t>UBIN0550213</t>
  </si>
  <si>
    <t>DHARMENDRA SAH</t>
  </si>
  <si>
    <t>502102010005812</t>
  </si>
  <si>
    <t>KARTICK BISWAS</t>
  </si>
  <si>
    <t>10231922348</t>
  </si>
  <si>
    <t>State Bank Of India</t>
  </si>
  <si>
    <t>SBIN0007245</t>
  </si>
  <si>
    <t xml:space="preserve">JAYANTA KARMAKAR </t>
  </si>
  <si>
    <t>11089309796</t>
  </si>
  <si>
    <t>SBIN0007206</t>
  </si>
  <si>
    <t>ALOKE KUMAR SARKAR</t>
  </si>
  <si>
    <t>07800100017117</t>
  </si>
  <si>
    <t>Bank of Baroda</t>
  </si>
  <si>
    <t>BARB0SILIGU</t>
  </si>
  <si>
    <t>SUJOY GHOSH</t>
  </si>
  <si>
    <t>380502011909074</t>
  </si>
  <si>
    <t>UBIN0538051</t>
  </si>
  <si>
    <t>PARTHA SARKAR</t>
  </si>
  <si>
    <t>31095273182</t>
  </si>
  <si>
    <t>SBIN0002096</t>
  </si>
  <si>
    <t>UJJAL MANDAL</t>
  </si>
  <si>
    <t>SBIN0012408</t>
  </si>
  <si>
    <t>DEEPAK SAHANI</t>
  </si>
  <si>
    <t>684202010011328</t>
  </si>
  <si>
    <t>UNION BANK</t>
  </si>
  <si>
    <t>UBIN0568422</t>
  </si>
  <si>
    <t>20358589384</t>
  </si>
  <si>
    <t>MRIDUL BARMAN</t>
  </si>
  <si>
    <t>50100485076168</t>
  </si>
  <si>
    <t>HDFC BANK</t>
  </si>
  <si>
    <t>HDFC0009521</t>
  </si>
  <si>
    <r>
      <t xml:space="preserve">Total = </t>
    </r>
    <r>
      <rPr>
        <b/>
        <sz val="12"/>
        <color theme="1"/>
        <rFont val="Cambria"/>
        <family val="1"/>
        <scheme val="major"/>
      </rPr>
      <t>(</t>
    </r>
    <r>
      <rPr>
        <b/>
        <sz val="11"/>
        <color theme="1"/>
        <rFont val="Cambria"/>
        <family val="1"/>
        <scheme val="major"/>
      </rPr>
      <t xml:space="preserve"> Two Lakhs Fourty Nine Thousand Nine Hundred Eighty Only</t>
    </r>
    <r>
      <rPr>
        <b/>
        <sz val="12"/>
        <color theme="1"/>
        <rFont val="Cambria"/>
        <family val="1"/>
        <scheme val="major"/>
      </rPr>
      <t>)</t>
    </r>
  </si>
  <si>
    <t xml:space="preserve">5. I/We hereby aeree that aforesaid details including the IFSC code and beneficiary account are correct. I/We further acknowledge that Canara Bank accepts no liability for any               consepuences arising out of erroneous details provide by me/us. </t>
  </si>
  <si>
    <t>Thanking you</t>
  </si>
  <si>
    <t>PARTHA PRATIM BASU</t>
  </si>
  <si>
    <t>11323936009</t>
  </si>
  <si>
    <t>SBIN0000058</t>
  </si>
  <si>
    <t>KAILASH CH. GURJAR</t>
  </si>
  <si>
    <t>46970100003617</t>
  </si>
  <si>
    <t>BARODA RAJASTHAN KSHETRIYA GRAMIN BANK</t>
  </si>
  <si>
    <t>BHUPENDRA LAL GURJAR</t>
  </si>
  <si>
    <t>46970100005108</t>
  </si>
  <si>
    <t>SHANKARI DEVI</t>
  </si>
  <si>
    <t>46970100003119</t>
  </si>
  <si>
    <t>GANESH GURJAR</t>
  </si>
  <si>
    <t>66830124454</t>
  </si>
  <si>
    <t>ICICI BANK</t>
  </si>
  <si>
    <t>ICIC0006683</t>
  </si>
  <si>
    <t>PROHLLAD ROY</t>
  </si>
  <si>
    <t>3325110120050940</t>
  </si>
  <si>
    <t>UJJIVAN SMALL FINANCE BANK</t>
  </si>
  <si>
    <t>UJVN0003325</t>
  </si>
  <si>
    <r>
      <t xml:space="preserve">Total = </t>
    </r>
    <r>
      <rPr>
        <b/>
        <sz val="12"/>
        <color theme="1"/>
        <rFont val="Cambria"/>
        <family val="1"/>
        <scheme val="major"/>
      </rPr>
      <t xml:space="preserve">( Two Lakh Seventy Eight Thousand Three Hundred </t>
    </r>
    <r>
      <rPr>
        <b/>
        <sz val="11"/>
        <color theme="1"/>
        <rFont val="Cambria"/>
        <family val="1"/>
        <scheme val="major"/>
      </rPr>
      <t>Only</t>
    </r>
    <r>
      <rPr>
        <b/>
        <sz val="12"/>
        <color theme="1"/>
        <rFont val="Cambria"/>
        <family val="1"/>
        <scheme val="major"/>
      </rPr>
      <t>)</t>
    </r>
  </si>
  <si>
    <t>Dt. 20.2.2024</t>
  </si>
  <si>
    <r>
      <t xml:space="preserve"> Kindly remit the amount after debiting the said amount from our C A A/c </t>
    </r>
    <r>
      <rPr>
        <b/>
        <sz val="10"/>
        <color theme="1"/>
        <rFont val="Cambria"/>
        <family val="1"/>
        <scheme val="major"/>
      </rPr>
      <t xml:space="preserve"> </t>
    </r>
  </si>
  <si>
    <t>Total = (                                                                                                                                    Only )</t>
  </si>
  <si>
    <t xml:space="preserve">Date :   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</si>
</sst>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rgb="FF000000"/>
      <name val="Cambria"/>
      <family val="1"/>
      <scheme val="major"/>
    </font>
    <font>
      <b/>
      <sz val="7"/>
      <color theme="1"/>
      <name val="Cambria"/>
      <family val="1"/>
      <scheme val="major"/>
    </font>
    <font>
      <sz val="8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2"/>
      <color rgb="FF000000"/>
      <name val="Cambria"/>
      <family val="1"/>
      <scheme val="major"/>
    </font>
    <font>
      <sz val="1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6.5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8" fillId="0" borderId="6" xfId="0" applyFont="1" applyFill="1" applyBorder="1" applyAlignment="1">
      <alignment vertical="center"/>
    </xf>
    <xf numFmtId="1" fontId="8" fillId="0" borderId="6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/>
    <xf numFmtId="43" fontId="9" fillId="0" borderId="7" xfId="1" applyFont="1" applyFill="1" applyBorder="1" applyAlignment="1">
      <alignment horizontal="center" vertical="center"/>
    </xf>
    <xf numFmtId="1" fontId="4" fillId="0" borderId="8" xfId="0" quotePrefix="1" applyNumberFormat="1" applyFont="1" applyBorder="1" applyAlignment="1">
      <alignment horizontal="center" vertical="center"/>
    </xf>
    <xf numFmtId="43" fontId="2" fillId="0" borderId="12" xfId="0" applyNumberFormat="1" applyFont="1" applyBorder="1" applyAlignment="1">
      <alignment horizontal="right"/>
    </xf>
    <xf numFmtId="0" fontId="12" fillId="0" borderId="0" xfId="0" applyFont="1"/>
    <xf numFmtId="0" fontId="3" fillId="0" borderId="0" xfId="0" applyFont="1" applyAlignment="1">
      <alignment horizontal="left"/>
    </xf>
    <xf numFmtId="0" fontId="3" fillId="0" borderId="2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3" fontId="0" fillId="0" borderId="23" xfId="0" applyNumberFormat="1" applyBorder="1"/>
    <xf numFmtId="0" fontId="15" fillId="0" borderId="8" xfId="0" applyFont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43" fontId="13" fillId="0" borderId="26" xfId="1" applyFont="1" applyFill="1" applyBorder="1"/>
    <xf numFmtId="0" fontId="3" fillId="0" borderId="0" xfId="0" applyFont="1" applyBorder="1" applyAlignment="1">
      <alignment horizontal="center"/>
    </xf>
    <xf numFmtId="43" fontId="3" fillId="0" borderId="0" xfId="0" applyNumberFormat="1" applyFont="1" applyBorder="1"/>
    <xf numFmtId="0" fontId="3" fillId="0" borderId="27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1" fontId="4" fillId="0" borderId="3" xfId="0" quotePrefix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/>
    <xf numFmtId="43" fontId="0" fillId="0" borderId="8" xfId="0" applyNumberFormat="1" applyFill="1" applyBorder="1"/>
    <xf numFmtId="0" fontId="8" fillId="0" borderId="8" xfId="0" applyFont="1" applyBorder="1"/>
    <xf numFmtId="0" fontId="4" fillId="0" borderId="8" xfId="0" applyFont="1" applyBorder="1"/>
    <xf numFmtId="43" fontId="13" fillId="0" borderId="12" xfId="1" applyFont="1" applyFill="1" applyBorder="1"/>
    <xf numFmtId="0" fontId="4" fillId="0" borderId="8" xfId="0" applyFont="1" applyBorder="1" applyAlignment="1">
      <alignment horizontal="left" vertical="center"/>
    </xf>
    <xf numFmtId="43" fontId="0" fillId="0" borderId="0" xfId="0" applyNumberFormat="1"/>
    <xf numFmtId="0" fontId="11" fillId="0" borderId="1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1" fillId="0" borderId="20" xfId="0" applyFont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7" fillId="0" borderId="0" xfId="0" applyFont="1" applyBorder="1" applyAlignment="1">
      <alignment horizontal="left" wrapText="1"/>
    </xf>
    <xf numFmtId="0" fontId="10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:I41"/>
  <sheetViews>
    <sheetView tabSelected="1" topLeftCell="A11" workbookViewId="0">
      <selection activeCell="H19" sqref="H19"/>
    </sheetView>
  </sheetViews>
  <sheetFormatPr defaultRowHeight="15"/>
  <cols>
    <col min="1" max="1" width="9.28515625" bestFit="1" customWidth="1"/>
    <col min="2" max="2" width="27.28515625" customWidth="1"/>
    <col min="3" max="3" width="20.85546875" customWidth="1"/>
    <col min="4" max="4" width="25" bestFit="1" customWidth="1"/>
    <col min="5" max="5" width="15.140625" bestFit="1" customWidth="1"/>
    <col min="6" max="6" width="14.85546875" customWidth="1"/>
    <col min="9" max="9" width="9.5703125" bestFit="1" customWidth="1"/>
  </cols>
  <sheetData>
    <row r="12" spans="1:6">
      <c r="A12" s="1" t="s">
        <v>0</v>
      </c>
      <c r="B12" s="2"/>
      <c r="C12" s="3"/>
      <c r="D12" s="3"/>
      <c r="E12" s="4"/>
      <c r="F12" s="4"/>
    </row>
    <row r="13" spans="1:6">
      <c r="A13" s="2" t="s">
        <v>1</v>
      </c>
      <c r="B13" s="2"/>
      <c r="C13" s="3"/>
      <c r="D13" s="3"/>
      <c r="E13" s="55" t="s">
        <v>111</v>
      </c>
      <c r="F13" s="55"/>
    </row>
    <row r="14" spans="1:6">
      <c r="A14" s="2" t="s">
        <v>2</v>
      </c>
      <c r="B14" s="2"/>
      <c r="C14" s="3"/>
      <c r="D14" s="3"/>
      <c r="E14" s="3"/>
      <c r="F14" s="3"/>
    </row>
    <row r="15" spans="1:6">
      <c r="A15" s="3" t="s">
        <v>3</v>
      </c>
      <c r="B15" s="3"/>
      <c r="C15" s="3"/>
      <c r="D15" s="3"/>
      <c r="E15" s="3"/>
      <c r="F15" s="3"/>
    </row>
    <row r="16" spans="1:6">
      <c r="A16" s="3" t="s">
        <v>4</v>
      </c>
      <c r="B16" s="3"/>
      <c r="C16" s="3"/>
      <c r="D16" s="3"/>
      <c r="E16" s="5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2" t="s">
        <v>5</v>
      </c>
      <c r="D18" s="3"/>
      <c r="E18" s="3"/>
      <c r="F18" s="3"/>
    </row>
    <row r="19" spans="1:6">
      <c r="A19" s="6" t="s">
        <v>6</v>
      </c>
      <c r="B19" s="3"/>
      <c r="C19" s="3"/>
      <c r="D19" s="3"/>
      <c r="E19" s="3"/>
      <c r="F19" s="3"/>
    </row>
    <row r="20" spans="1:6">
      <c r="A20" s="3"/>
      <c r="B20" s="6" t="s">
        <v>7</v>
      </c>
      <c r="C20" s="3"/>
      <c r="D20" s="3"/>
      <c r="E20" s="3"/>
      <c r="F20" s="3"/>
    </row>
    <row r="21" spans="1:6">
      <c r="A21" s="3" t="s">
        <v>109</v>
      </c>
      <c r="B21" s="3"/>
      <c r="C21" s="3"/>
      <c r="D21" s="3"/>
      <c r="E21" s="3"/>
      <c r="F21" s="3"/>
    </row>
    <row r="22" spans="1:6">
      <c r="A22" s="3" t="s">
        <v>8</v>
      </c>
      <c r="B22" s="3"/>
      <c r="C22" s="3"/>
      <c r="D22" s="3"/>
      <c r="E22" s="3"/>
      <c r="F22" s="3"/>
    </row>
    <row r="23" spans="1:6" ht="15.75" thickBot="1"/>
    <row r="24" spans="1:6">
      <c r="A24" s="7" t="s">
        <v>9</v>
      </c>
      <c r="B24" s="8" t="s">
        <v>10</v>
      </c>
      <c r="C24" s="9" t="s">
        <v>11</v>
      </c>
      <c r="D24" s="9" t="s">
        <v>12</v>
      </c>
      <c r="E24" s="9" t="s">
        <v>13</v>
      </c>
      <c r="F24" s="10" t="s">
        <v>14</v>
      </c>
    </row>
    <row r="25" spans="1:6">
      <c r="A25" s="11"/>
      <c r="B25" s="12"/>
      <c r="C25" s="13"/>
      <c r="D25" s="14"/>
      <c r="E25" s="15"/>
      <c r="F25" s="16"/>
    </row>
    <row r="26" spans="1:6">
      <c r="A26" s="11"/>
      <c r="B26" s="12"/>
      <c r="C26" s="17"/>
      <c r="D26" s="14"/>
      <c r="E26" s="15"/>
      <c r="F26" s="16"/>
    </row>
    <row r="27" spans="1:6">
      <c r="A27" s="11"/>
      <c r="B27" s="12"/>
      <c r="C27" s="17"/>
      <c r="D27" s="14"/>
      <c r="E27" s="15"/>
      <c r="F27" s="16"/>
    </row>
    <row r="28" spans="1:6">
      <c r="A28" s="11"/>
      <c r="B28" s="12"/>
      <c r="C28" s="17"/>
      <c r="D28" s="14"/>
      <c r="E28" s="15"/>
      <c r="F28" s="16"/>
    </row>
    <row r="29" spans="1:6">
      <c r="A29" s="11"/>
      <c r="B29" s="12"/>
      <c r="C29" s="17"/>
      <c r="D29" s="14"/>
      <c r="E29" s="15"/>
      <c r="F29" s="16"/>
    </row>
    <row r="30" spans="1:6">
      <c r="A30" s="11"/>
      <c r="B30" s="12"/>
      <c r="C30" s="17"/>
      <c r="D30" s="14"/>
      <c r="E30" s="15"/>
      <c r="F30" s="16"/>
    </row>
    <row r="31" spans="1:6">
      <c r="A31" s="11"/>
      <c r="B31" s="12"/>
      <c r="C31" s="17"/>
      <c r="D31" s="14"/>
      <c r="E31" s="15"/>
      <c r="F31" s="16"/>
    </row>
    <row r="32" spans="1:6">
      <c r="A32" s="11"/>
      <c r="B32" s="12"/>
      <c r="C32" s="17"/>
      <c r="D32" s="14"/>
      <c r="E32" s="15"/>
      <c r="F32" s="16"/>
    </row>
    <row r="33" spans="1:9" ht="15.75" thickBot="1">
      <c r="A33" s="11"/>
      <c r="B33" s="12"/>
      <c r="C33" s="17"/>
      <c r="D33" s="14"/>
      <c r="E33" s="15"/>
      <c r="F33" s="16"/>
    </row>
    <row r="34" spans="1:9" ht="15.75" thickBot="1">
      <c r="A34" s="56" t="s">
        <v>110</v>
      </c>
      <c r="B34" s="57"/>
      <c r="C34" s="57"/>
      <c r="D34" s="57"/>
      <c r="E34" s="58"/>
      <c r="F34" s="18">
        <f>SUM(F25:F33)</f>
        <v>0</v>
      </c>
    </row>
    <row r="35" spans="1:9">
      <c r="A35" s="59" t="s">
        <v>36</v>
      </c>
      <c r="B35" s="60"/>
      <c r="C35" s="60"/>
      <c r="D35" s="60"/>
      <c r="E35" s="60"/>
      <c r="F35" s="61"/>
      <c r="I35" s="47"/>
    </row>
    <row r="36" spans="1:9">
      <c r="A36" s="48" t="s">
        <v>37</v>
      </c>
      <c r="B36" s="49"/>
      <c r="C36" s="49"/>
      <c r="D36" s="49"/>
      <c r="E36" s="49"/>
      <c r="F36" s="50"/>
    </row>
    <row r="37" spans="1:9">
      <c r="A37" s="48" t="s">
        <v>38</v>
      </c>
      <c r="B37" s="49"/>
      <c r="C37" s="49"/>
      <c r="D37" s="49"/>
      <c r="E37" s="49"/>
      <c r="F37" s="50"/>
    </row>
    <row r="38" spans="1:9">
      <c r="A38" s="48" t="s">
        <v>39</v>
      </c>
      <c r="B38" s="49"/>
      <c r="C38" s="49"/>
      <c r="D38" s="49"/>
      <c r="E38" s="49"/>
      <c r="F38" s="50"/>
    </row>
    <row r="39" spans="1:9">
      <c r="A39" s="48" t="s">
        <v>40</v>
      </c>
      <c r="B39" s="49"/>
      <c r="C39" s="49"/>
      <c r="D39" s="49"/>
      <c r="E39" s="49"/>
      <c r="F39" s="50"/>
    </row>
    <row r="40" spans="1:9" ht="15.75" thickBot="1">
      <c r="A40" s="51" t="s">
        <v>41</v>
      </c>
      <c r="B40" s="52"/>
      <c r="C40" s="52"/>
      <c r="D40" s="52"/>
      <c r="E40" s="52"/>
      <c r="F40" s="53"/>
    </row>
    <row r="41" spans="1:9">
      <c r="A41" s="19"/>
      <c r="B41" s="19" t="s">
        <v>42</v>
      </c>
      <c r="C41" s="19"/>
      <c r="D41" s="19"/>
      <c r="E41" s="54" t="s">
        <v>43</v>
      </c>
      <c r="F41" s="54"/>
    </row>
  </sheetData>
  <mergeCells count="9">
    <mergeCell ref="A39:F39"/>
    <mergeCell ref="A40:F40"/>
    <mergeCell ref="E41:F41"/>
    <mergeCell ref="E13:F13"/>
    <mergeCell ref="A34:E34"/>
    <mergeCell ref="A35:F35"/>
    <mergeCell ref="A36:F36"/>
    <mergeCell ref="A37:F37"/>
    <mergeCell ref="A38:F38"/>
  </mergeCells>
  <printOptions horizontalCentered="1" verticalCentered="1"/>
  <pageMargins left="0.7" right="0.7" top="0.75" bottom="0.75" header="0.3" footer="0.3"/>
  <pageSetup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F36"/>
  <sheetViews>
    <sheetView workbookViewId="0">
      <selection activeCell="B17" sqref="B17"/>
    </sheetView>
  </sheetViews>
  <sheetFormatPr defaultRowHeight="15"/>
  <cols>
    <col min="1" max="1" width="9.85546875" bestFit="1" customWidth="1"/>
    <col min="2" max="2" width="23.140625" bestFit="1" customWidth="1"/>
    <col min="3" max="3" width="18.42578125" bestFit="1" customWidth="1"/>
    <col min="4" max="4" width="18.28515625" bestFit="1" customWidth="1"/>
    <col min="5" max="5" width="14.28515625" bestFit="1" customWidth="1"/>
    <col min="6" max="6" width="11.5703125" bestFit="1" customWidth="1"/>
  </cols>
  <sheetData>
    <row r="2" spans="1:6">
      <c r="A2" s="62" t="s">
        <v>0</v>
      </c>
      <c r="B2" s="62"/>
      <c r="C2" s="3"/>
      <c r="D2" s="3"/>
      <c r="E2" s="55" t="s">
        <v>44</v>
      </c>
      <c r="F2" s="55"/>
    </row>
    <row r="3" spans="1:6">
      <c r="A3" s="63" t="s">
        <v>1</v>
      </c>
      <c r="B3" s="63"/>
      <c r="C3" s="3"/>
      <c r="D3" s="3"/>
      <c r="E3" s="20"/>
      <c r="F3" s="3"/>
    </row>
    <row r="4" spans="1:6">
      <c r="A4" s="63" t="s">
        <v>45</v>
      </c>
      <c r="B4" s="63"/>
      <c r="C4" s="3"/>
      <c r="D4" s="3"/>
      <c r="E4" s="3"/>
      <c r="F4" s="3"/>
    </row>
    <row r="5" spans="1:6">
      <c r="A5" s="63" t="s">
        <v>46</v>
      </c>
      <c r="B5" s="63"/>
      <c r="C5" s="3"/>
      <c r="D5" s="3"/>
      <c r="E5" s="3"/>
      <c r="F5" s="3"/>
    </row>
    <row r="6" spans="1:6">
      <c r="A6" s="65" t="s">
        <v>47</v>
      </c>
      <c r="B6" s="65"/>
      <c r="C6" s="3"/>
      <c r="D6" s="3"/>
      <c r="E6" s="5"/>
      <c r="F6" s="3"/>
    </row>
    <row r="7" spans="1:6">
      <c r="A7" s="3"/>
      <c r="B7" s="3"/>
      <c r="C7" s="3"/>
      <c r="D7" s="3"/>
      <c r="E7" s="3"/>
      <c r="F7" s="3"/>
    </row>
    <row r="8" spans="1:6">
      <c r="A8" s="66" t="s">
        <v>48</v>
      </c>
      <c r="B8" s="66"/>
      <c r="C8" s="66"/>
      <c r="D8" s="66"/>
      <c r="E8" s="66"/>
      <c r="F8" s="66"/>
    </row>
    <row r="9" spans="1:6">
      <c r="A9" s="3"/>
      <c r="B9" s="3"/>
      <c r="C9" s="3"/>
      <c r="D9" s="3"/>
      <c r="E9" s="3"/>
      <c r="F9" s="3"/>
    </row>
    <row r="10" spans="1:6">
      <c r="A10" s="6" t="s">
        <v>6</v>
      </c>
      <c r="B10" s="3"/>
      <c r="C10" s="3"/>
      <c r="D10" s="3"/>
      <c r="E10" s="3"/>
      <c r="F10" s="3"/>
    </row>
    <row r="11" spans="1:6">
      <c r="A11" s="3"/>
      <c r="B11" s="65" t="s">
        <v>7</v>
      </c>
      <c r="C11" s="65"/>
      <c r="D11" s="65"/>
      <c r="E11" s="65"/>
      <c r="F11" s="65"/>
    </row>
    <row r="12" spans="1:6">
      <c r="A12" s="65" t="s">
        <v>49</v>
      </c>
      <c r="B12" s="65"/>
      <c r="C12" s="65"/>
      <c r="D12" s="65"/>
      <c r="E12" s="65"/>
      <c r="F12" s="65"/>
    </row>
    <row r="13" spans="1:6">
      <c r="A13" s="65" t="s">
        <v>50</v>
      </c>
      <c r="B13" s="65"/>
      <c r="C13" s="65"/>
      <c r="D13" s="65"/>
      <c r="E13" s="65"/>
      <c r="F13" s="65"/>
    </row>
    <row r="14" spans="1:6" ht="15.75" thickBot="1">
      <c r="A14" s="3"/>
      <c r="B14" s="3"/>
      <c r="C14" s="3"/>
      <c r="D14" s="3"/>
      <c r="E14" s="3"/>
      <c r="F14" s="3"/>
    </row>
    <row r="15" spans="1:6" ht="28.5">
      <c r="A15" s="21" t="s">
        <v>51</v>
      </c>
      <c r="B15" s="22" t="s">
        <v>10</v>
      </c>
      <c r="C15" s="22" t="s">
        <v>11</v>
      </c>
      <c r="D15" s="22" t="s">
        <v>12</v>
      </c>
      <c r="E15" s="22" t="s">
        <v>13</v>
      </c>
      <c r="F15" s="23" t="s">
        <v>14</v>
      </c>
    </row>
    <row r="16" spans="1:6">
      <c r="A16" s="24">
        <v>1</v>
      </c>
      <c r="B16" s="25" t="s">
        <v>52</v>
      </c>
      <c r="C16" s="17" t="s">
        <v>53</v>
      </c>
      <c r="D16" s="26" t="s">
        <v>54</v>
      </c>
      <c r="E16" s="27" t="s">
        <v>55</v>
      </c>
      <c r="F16" s="28">
        <v>40360</v>
      </c>
    </row>
    <row r="17" spans="1:6">
      <c r="A17" s="24">
        <f t="shared" ref="A17:A27" si="0">A16+1</f>
        <v>2</v>
      </c>
      <c r="B17" s="25" t="s">
        <v>56</v>
      </c>
      <c r="C17" s="17" t="s">
        <v>57</v>
      </c>
      <c r="D17" s="26" t="s">
        <v>54</v>
      </c>
      <c r="E17" s="27" t="s">
        <v>55</v>
      </c>
      <c r="F17" s="28">
        <v>27020</v>
      </c>
    </row>
    <row r="18" spans="1:6">
      <c r="A18" s="24">
        <f t="shared" si="0"/>
        <v>3</v>
      </c>
      <c r="B18" s="25" t="s">
        <v>58</v>
      </c>
      <c r="C18" s="17" t="s">
        <v>59</v>
      </c>
      <c r="D18" s="27" t="s">
        <v>60</v>
      </c>
      <c r="E18" s="29" t="s">
        <v>61</v>
      </c>
      <c r="F18" s="28">
        <v>8800</v>
      </c>
    </row>
    <row r="19" spans="1:6">
      <c r="A19" s="24">
        <f t="shared" si="0"/>
        <v>4</v>
      </c>
      <c r="B19" s="25" t="s">
        <v>62</v>
      </c>
      <c r="C19" s="17" t="s">
        <v>63</v>
      </c>
      <c r="D19" s="26" t="s">
        <v>60</v>
      </c>
      <c r="E19" s="27" t="s">
        <v>64</v>
      </c>
      <c r="F19" s="28">
        <v>39350</v>
      </c>
    </row>
    <row r="20" spans="1:6">
      <c r="A20" s="24">
        <f t="shared" si="0"/>
        <v>5</v>
      </c>
      <c r="B20" s="25" t="s">
        <v>65</v>
      </c>
      <c r="C20" s="17" t="s">
        <v>66</v>
      </c>
      <c r="D20" s="27" t="s">
        <v>67</v>
      </c>
      <c r="E20" s="27" t="s">
        <v>68</v>
      </c>
      <c r="F20" s="28">
        <v>19370</v>
      </c>
    </row>
    <row r="21" spans="1:6">
      <c r="A21" s="24">
        <f t="shared" si="0"/>
        <v>6</v>
      </c>
      <c r="B21" s="25" t="s">
        <v>69</v>
      </c>
      <c r="C21" s="17" t="s">
        <v>70</v>
      </c>
      <c r="D21" s="26" t="s">
        <v>54</v>
      </c>
      <c r="E21" s="27" t="s">
        <v>71</v>
      </c>
      <c r="F21" s="28">
        <v>40350</v>
      </c>
    </row>
    <row r="22" spans="1:6">
      <c r="A22" s="24">
        <f t="shared" si="0"/>
        <v>7</v>
      </c>
      <c r="B22" s="30" t="s">
        <v>72</v>
      </c>
      <c r="C22" s="17" t="s">
        <v>73</v>
      </c>
      <c r="D22" s="26" t="s">
        <v>60</v>
      </c>
      <c r="E22" s="27" t="s">
        <v>74</v>
      </c>
      <c r="F22" s="28">
        <v>22120</v>
      </c>
    </row>
    <row r="23" spans="1:6">
      <c r="A23" s="24">
        <f t="shared" si="0"/>
        <v>8</v>
      </c>
      <c r="B23" s="30" t="s">
        <v>75</v>
      </c>
      <c r="C23" s="17">
        <v>40291307316</v>
      </c>
      <c r="D23" s="26" t="s">
        <v>60</v>
      </c>
      <c r="E23" s="27" t="s">
        <v>76</v>
      </c>
      <c r="F23" s="28">
        <v>17870</v>
      </c>
    </row>
    <row r="24" spans="1:6">
      <c r="A24" s="24">
        <f t="shared" si="0"/>
        <v>9</v>
      </c>
      <c r="B24" s="25" t="s">
        <v>77</v>
      </c>
      <c r="C24" s="17" t="s">
        <v>78</v>
      </c>
      <c r="D24" s="26" t="s">
        <v>79</v>
      </c>
      <c r="E24" s="27" t="s">
        <v>80</v>
      </c>
      <c r="F24" s="28">
        <v>11370</v>
      </c>
    </row>
    <row r="25" spans="1:6">
      <c r="A25" s="24">
        <f t="shared" si="0"/>
        <v>10</v>
      </c>
      <c r="B25" s="25" t="s">
        <v>19</v>
      </c>
      <c r="C25" s="17" t="s">
        <v>81</v>
      </c>
      <c r="D25" s="26" t="s">
        <v>60</v>
      </c>
      <c r="E25" s="27" t="s">
        <v>20</v>
      </c>
      <c r="F25" s="28">
        <v>7500</v>
      </c>
    </row>
    <row r="26" spans="1:6">
      <c r="A26" s="24">
        <f t="shared" si="0"/>
        <v>11</v>
      </c>
      <c r="B26" s="25" t="s">
        <v>82</v>
      </c>
      <c r="C26" s="17" t="s">
        <v>83</v>
      </c>
      <c r="D26" s="27" t="s">
        <v>84</v>
      </c>
      <c r="E26" s="27" t="s">
        <v>85</v>
      </c>
      <c r="F26" s="28">
        <v>9870</v>
      </c>
    </row>
    <row r="27" spans="1:6">
      <c r="A27" s="24">
        <f t="shared" si="0"/>
        <v>12</v>
      </c>
      <c r="B27" s="25" t="s">
        <v>34</v>
      </c>
      <c r="C27" s="17">
        <v>50342385954</v>
      </c>
      <c r="D27" s="27" t="s">
        <v>35</v>
      </c>
      <c r="E27" s="27" t="s">
        <v>21</v>
      </c>
      <c r="F27" s="28">
        <v>6000</v>
      </c>
    </row>
    <row r="28" spans="1:6" ht="16.5" thickBot="1">
      <c r="A28" s="67" t="s">
        <v>86</v>
      </c>
      <c r="B28" s="68"/>
      <c r="C28" s="68"/>
      <c r="D28" s="68"/>
      <c r="E28" s="68"/>
      <c r="F28" s="31">
        <f>+SUM(F16:F27)</f>
        <v>249980</v>
      </c>
    </row>
    <row r="29" spans="1:6">
      <c r="A29" s="3"/>
      <c r="B29" s="3"/>
      <c r="C29" s="3"/>
      <c r="D29" s="3"/>
      <c r="E29" s="32"/>
      <c r="F29" s="33"/>
    </row>
    <row r="30" spans="1:6">
      <c r="A30" s="70" t="s">
        <v>36</v>
      </c>
      <c r="B30" s="70"/>
      <c r="C30" s="70"/>
      <c r="D30" s="70"/>
      <c r="E30" s="70"/>
      <c r="F30" s="70"/>
    </row>
    <row r="31" spans="1:6">
      <c r="A31" s="71" t="s">
        <v>37</v>
      </c>
      <c r="B31" s="71"/>
      <c r="C31" s="71"/>
      <c r="D31" s="71"/>
      <c r="E31" s="71"/>
      <c r="F31" s="71"/>
    </row>
    <row r="32" spans="1:6">
      <c r="A32" s="71" t="s">
        <v>38</v>
      </c>
      <c r="B32" s="71"/>
      <c r="C32" s="71"/>
      <c r="D32" s="71"/>
      <c r="E32" s="71"/>
      <c r="F32" s="71"/>
    </row>
    <row r="33" spans="1:6">
      <c r="A33" s="71" t="s">
        <v>39</v>
      </c>
      <c r="B33" s="71"/>
      <c r="C33" s="71"/>
      <c r="D33" s="71"/>
      <c r="E33" s="71"/>
      <c r="F33" s="71"/>
    </row>
    <row r="34" spans="1:6" ht="15" customHeight="1">
      <c r="A34" s="71" t="s">
        <v>40</v>
      </c>
      <c r="B34" s="71"/>
      <c r="C34" s="71"/>
      <c r="D34" s="71"/>
      <c r="E34" s="71"/>
      <c r="F34" s="71"/>
    </row>
    <row r="35" spans="1:6">
      <c r="A35" s="69" t="s">
        <v>87</v>
      </c>
      <c r="B35" s="69"/>
      <c r="C35" s="69"/>
      <c r="D35" s="69"/>
      <c r="E35" s="69"/>
      <c r="F35" s="69"/>
    </row>
    <row r="36" spans="1:6">
      <c r="A36" s="64" t="s">
        <v>88</v>
      </c>
      <c r="B36" s="64"/>
      <c r="E36" s="64" t="s">
        <v>43</v>
      </c>
      <c r="F36" s="64"/>
    </row>
  </sheetData>
  <mergeCells count="19">
    <mergeCell ref="A36:B36"/>
    <mergeCell ref="E36:F36"/>
    <mergeCell ref="A6:B6"/>
    <mergeCell ref="A8:F8"/>
    <mergeCell ref="B11:F11"/>
    <mergeCell ref="A13:F13"/>
    <mergeCell ref="A28:E28"/>
    <mergeCell ref="A35:F35"/>
    <mergeCell ref="A30:F30"/>
    <mergeCell ref="A31:F31"/>
    <mergeCell ref="A32:F32"/>
    <mergeCell ref="A33:F33"/>
    <mergeCell ref="A34:F34"/>
    <mergeCell ref="A12:F12"/>
    <mergeCell ref="A2:B2"/>
    <mergeCell ref="A3:B3"/>
    <mergeCell ref="A4:B4"/>
    <mergeCell ref="A5:B5"/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F34"/>
  <sheetViews>
    <sheetView topLeftCell="A13" workbookViewId="0">
      <selection activeCell="B36" sqref="B36"/>
    </sheetView>
  </sheetViews>
  <sheetFormatPr defaultColWidth="25.28515625" defaultRowHeight="15"/>
  <cols>
    <col min="1" max="1" width="6.5703125" customWidth="1"/>
    <col min="3" max="3" width="19.5703125" bestFit="1" customWidth="1"/>
    <col min="5" max="5" width="15.140625" bestFit="1" customWidth="1"/>
    <col min="6" max="6" width="11.5703125" bestFit="1" customWidth="1"/>
  </cols>
  <sheetData>
    <row r="2" spans="1:6">
      <c r="A2" s="62" t="s">
        <v>0</v>
      </c>
      <c r="B2" s="62"/>
      <c r="C2" s="3"/>
      <c r="D2" s="3"/>
      <c r="E2" s="55" t="s">
        <v>108</v>
      </c>
      <c r="F2" s="55"/>
    </row>
    <row r="3" spans="1:6">
      <c r="A3" s="63" t="s">
        <v>1</v>
      </c>
      <c r="B3" s="63"/>
      <c r="C3" s="3"/>
      <c r="D3" s="3"/>
      <c r="E3" s="20"/>
      <c r="F3" s="3"/>
    </row>
    <row r="4" spans="1:6">
      <c r="A4" s="63" t="s">
        <v>45</v>
      </c>
      <c r="B4" s="63"/>
      <c r="C4" s="3"/>
      <c r="D4" s="3"/>
      <c r="E4" s="3"/>
      <c r="F4" s="3"/>
    </row>
    <row r="5" spans="1:6">
      <c r="A5" s="63" t="s">
        <v>46</v>
      </c>
      <c r="B5" s="63"/>
      <c r="C5" s="3"/>
      <c r="D5" s="3"/>
      <c r="E5" s="3"/>
      <c r="F5" s="3"/>
    </row>
    <row r="6" spans="1:6">
      <c r="A6" s="65" t="s">
        <v>47</v>
      </c>
      <c r="B6" s="65"/>
      <c r="C6" s="3"/>
      <c r="D6" s="3"/>
      <c r="E6" s="5"/>
      <c r="F6" s="3"/>
    </row>
    <row r="7" spans="1:6">
      <c r="A7" s="3"/>
      <c r="B7" s="3"/>
      <c r="C7" s="3"/>
      <c r="D7" s="3"/>
      <c r="E7" s="3"/>
      <c r="F7" s="3"/>
    </row>
    <row r="8" spans="1:6">
      <c r="A8" s="66" t="s">
        <v>48</v>
      </c>
      <c r="B8" s="66"/>
      <c r="C8" s="66"/>
      <c r="D8" s="66"/>
      <c r="E8" s="66"/>
      <c r="F8" s="66"/>
    </row>
    <row r="9" spans="1:6">
      <c r="A9" s="3"/>
      <c r="B9" s="3"/>
      <c r="C9" s="3"/>
      <c r="D9" s="3"/>
      <c r="E9" s="3"/>
      <c r="F9" s="3"/>
    </row>
    <row r="10" spans="1:6">
      <c r="A10" s="6" t="s">
        <v>6</v>
      </c>
      <c r="B10" s="3"/>
      <c r="C10" s="3"/>
      <c r="D10" s="3"/>
      <c r="E10" s="3"/>
      <c r="F10" s="3"/>
    </row>
    <row r="11" spans="1:6">
      <c r="A11" s="3"/>
      <c r="B11" s="65" t="s">
        <v>7</v>
      </c>
      <c r="C11" s="65"/>
      <c r="D11" s="65"/>
      <c r="E11" s="65"/>
      <c r="F11" s="65"/>
    </row>
    <row r="12" spans="1:6">
      <c r="A12" s="65" t="s">
        <v>49</v>
      </c>
      <c r="B12" s="65"/>
      <c r="C12" s="65"/>
      <c r="D12" s="65"/>
      <c r="E12" s="65"/>
      <c r="F12" s="65"/>
    </row>
    <row r="13" spans="1:6">
      <c r="A13" s="65" t="s">
        <v>50</v>
      </c>
      <c r="B13" s="65"/>
      <c r="C13" s="65"/>
      <c r="D13" s="65"/>
      <c r="E13" s="65"/>
      <c r="F13" s="65"/>
    </row>
    <row r="14" spans="1:6" ht="15.75" thickBot="1">
      <c r="A14" s="3"/>
      <c r="B14" s="3"/>
      <c r="C14" s="3"/>
      <c r="D14" s="3"/>
      <c r="E14" s="3"/>
      <c r="F14" s="3"/>
    </row>
    <row r="15" spans="1:6" ht="29.25" thickBot="1">
      <c r="A15" s="34" t="s">
        <v>51</v>
      </c>
      <c r="B15" s="35" t="s">
        <v>10</v>
      </c>
      <c r="C15" s="35" t="s">
        <v>11</v>
      </c>
      <c r="D15" s="36" t="s">
        <v>12</v>
      </c>
      <c r="E15" s="35" t="s">
        <v>13</v>
      </c>
      <c r="F15" s="35" t="s">
        <v>14</v>
      </c>
    </row>
    <row r="16" spans="1:6">
      <c r="A16" s="37">
        <v>1</v>
      </c>
      <c r="B16" s="38" t="s">
        <v>89</v>
      </c>
      <c r="C16" s="39" t="s">
        <v>90</v>
      </c>
      <c r="D16" s="40" t="s">
        <v>25</v>
      </c>
      <c r="E16" s="41" t="s">
        <v>91</v>
      </c>
      <c r="F16" s="42">
        <v>15870</v>
      </c>
    </row>
    <row r="17" spans="1:6">
      <c r="A17" s="24">
        <f>A16+1</f>
        <v>2</v>
      </c>
      <c r="B17" s="43" t="s">
        <v>31</v>
      </c>
      <c r="C17" s="17" t="s">
        <v>32</v>
      </c>
      <c r="D17" s="27" t="s">
        <v>17</v>
      </c>
      <c r="E17" s="44" t="s">
        <v>33</v>
      </c>
      <c r="F17" s="42">
        <v>23590</v>
      </c>
    </row>
    <row r="18" spans="1:6">
      <c r="A18" s="24">
        <f t="shared" ref="A18:A25" si="0">A17+1</f>
        <v>3</v>
      </c>
      <c r="B18" s="30" t="s">
        <v>23</v>
      </c>
      <c r="C18" s="17" t="s">
        <v>24</v>
      </c>
      <c r="D18" s="27" t="s">
        <v>25</v>
      </c>
      <c r="E18" s="44" t="s">
        <v>26</v>
      </c>
      <c r="F18" s="42">
        <v>19870</v>
      </c>
    </row>
    <row r="19" spans="1:6">
      <c r="A19" s="24">
        <f t="shared" si="0"/>
        <v>4</v>
      </c>
      <c r="B19" s="30" t="s">
        <v>27</v>
      </c>
      <c r="C19" s="17" t="s">
        <v>28</v>
      </c>
      <c r="D19" s="27" t="s">
        <v>29</v>
      </c>
      <c r="E19" s="44" t="s">
        <v>30</v>
      </c>
      <c r="F19" s="42">
        <v>19370</v>
      </c>
    </row>
    <row r="20" spans="1:6">
      <c r="A20" s="24">
        <f t="shared" si="0"/>
        <v>5</v>
      </c>
      <c r="B20" s="30" t="s">
        <v>92</v>
      </c>
      <c r="C20" s="17" t="s">
        <v>93</v>
      </c>
      <c r="D20" s="46" t="s">
        <v>94</v>
      </c>
      <c r="E20" s="44" t="s">
        <v>22</v>
      </c>
      <c r="F20" s="42">
        <v>83925</v>
      </c>
    </row>
    <row r="21" spans="1:6">
      <c r="A21" s="24">
        <f t="shared" si="0"/>
        <v>6</v>
      </c>
      <c r="B21" s="30" t="s">
        <v>95</v>
      </c>
      <c r="C21" s="17" t="s">
        <v>96</v>
      </c>
      <c r="D21" s="46" t="s">
        <v>94</v>
      </c>
      <c r="E21" s="44" t="s">
        <v>22</v>
      </c>
      <c r="F21" s="42">
        <v>34850</v>
      </c>
    </row>
    <row r="22" spans="1:6">
      <c r="A22" s="24">
        <f t="shared" si="0"/>
        <v>7</v>
      </c>
      <c r="B22" s="30" t="s">
        <v>97</v>
      </c>
      <c r="C22" s="17" t="s">
        <v>98</v>
      </c>
      <c r="D22" s="46" t="s">
        <v>94</v>
      </c>
      <c r="E22" s="44" t="s">
        <v>22</v>
      </c>
      <c r="F22" s="42">
        <v>35260</v>
      </c>
    </row>
    <row r="23" spans="1:6">
      <c r="A23" s="24">
        <f t="shared" si="0"/>
        <v>8</v>
      </c>
      <c r="B23" s="30" t="s">
        <v>99</v>
      </c>
      <c r="C23" s="17" t="s">
        <v>100</v>
      </c>
      <c r="D23" s="27" t="s">
        <v>101</v>
      </c>
      <c r="E23" s="44" t="s">
        <v>102</v>
      </c>
      <c r="F23" s="42">
        <v>6325</v>
      </c>
    </row>
    <row r="24" spans="1:6">
      <c r="A24" s="24">
        <f t="shared" si="0"/>
        <v>9</v>
      </c>
      <c r="B24" s="30" t="s">
        <v>103</v>
      </c>
      <c r="C24" s="17" t="s">
        <v>104</v>
      </c>
      <c r="D24" s="46" t="s">
        <v>105</v>
      </c>
      <c r="E24" s="44" t="s">
        <v>106</v>
      </c>
      <c r="F24" s="42">
        <v>21370</v>
      </c>
    </row>
    <row r="25" spans="1:6" ht="15.75" thickBot="1">
      <c r="A25" s="24">
        <f t="shared" si="0"/>
        <v>10</v>
      </c>
      <c r="B25" s="12" t="s">
        <v>15</v>
      </c>
      <c r="C25" s="13" t="s">
        <v>16</v>
      </c>
      <c r="D25" s="14" t="s">
        <v>17</v>
      </c>
      <c r="E25" s="15" t="s">
        <v>18</v>
      </c>
      <c r="F25" s="42">
        <v>17870</v>
      </c>
    </row>
    <row r="26" spans="1:6" ht="16.5" thickBot="1">
      <c r="A26" s="56" t="s">
        <v>107</v>
      </c>
      <c r="B26" s="57"/>
      <c r="C26" s="57"/>
      <c r="D26" s="57"/>
      <c r="E26" s="58"/>
      <c r="F26" s="45">
        <f>SUM(F16:F25)</f>
        <v>278300</v>
      </c>
    </row>
    <row r="27" spans="1:6">
      <c r="A27" s="3"/>
      <c r="B27" s="3"/>
      <c r="C27" s="3"/>
      <c r="D27" s="3"/>
      <c r="E27" s="32"/>
      <c r="F27" s="33"/>
    </row>
    <row r="28" spans="1:6">
      <c r="A28" s="70" t="s">
        <v>36</v>
      </c>
      <c r="B28" s="70"/>
      <c r="C28" s="70"/>
      <c r="D28" s="70"/>
      <c r="E28" s="70"/>
      <c r="F28" s="70"/>
    </row>
    <row r="29" spans="1:6">
      <c r="A29" s="71" t="s">
        <v>37</v>
      </c>
      <c r="B29" s="71"/>
      <c r="C29" s="71"/>
      <c r="D29" s="71"/>
      <c r="E29" s="71"/>
      <c r="F29" s="71"/>
    </row>
    <row r="30" spans="1:6">
      <c r="A30" s="71" t="s">
        <v>38</v>
      </c>
      <c r="B30" s="71"/>
      <c r="C30" s="71"/>
      <c r="D30" s="71"/>
      <c r="E30" s="71"/>
      <c r="F30" s="71"/>
    </row>
    <row r="31" spans="1:6">
      <c r="A31" s="71" t="s">
        <v>39</v>
      </c>
      <c r="B31" s="71"/>
      <c r="C31" s="71"/>
      <c r="D31" s="71"/>
      <c r="E31" s="71"/>
      <c r="F31" s="71"/>
    </row>
    <row r="32" spans="1:6">
      <c r="A32" s="71" t="s">
        <v>40</v>
      </c>
      <c r="B32" s="71"/>
      <c r="C32" s="71"/>
      <c r="D32" s="71"/>
      <c r="E32" s="71"/>
      <c r="F32" s="71"/>
    </row>
    <row r="33" spans="1:6">
      <c r="A33" s="69" t="s">
        <v>87</v>
      </c>
      <c r="B33" s="69"/>
      <c r="C33" s="69"/>
      <c r="D33" s="69"/>
      <c r="E33" s="69"/>
      <c r="F33" s="69"/>
    </row>
    <row r="34" spans="1:6">
      <c r="A34" s="64" t="s">
        <v>88</v>
      </c>
      <c r="B34" s="64"/>
      <c r="E34" s="64" t="s">
        <v>43</v>
      </c>
      <c r="F34" s="64"/>
    </row>
  </sheetData>
  <mergeCells count="19">
    <mergeCell ref="A34:B34"/>
    <mergeCell ref="E34:F34"/>
    <mergeCell ref="A8:F8"/>
    <mergeCell ref="B11:F11"/>
    <mergeCell ref="A12:F12"/>
    <mergeCell ref="A13:F13"/>
    <mergeCell ref="A26:E26"/>
    <mergeCell ref="A28:F28"/>
    <mergeCell ref="A29:F29"/>
    <mergeCell ref="A30:F30"/>
    <mergeCell ref="A31:F31"/>
    <mergeCell ref="A32:F32"/>
    <mergeCell ref="A33:F33"/>
    <mergeCell ref="A6:B6"/>
    <mergeCell ref="A2:B2"/>
    <mergeCell ref="E2:F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Sheet 1</vt:lpstr>
      <vt:lpstr>SNP H.O</vt:lpstr>
      <vt:lpstr>SNP Project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2026-08-07T07:32:00Z</dcterms:modified>
</cp:coreProperties>
</file>